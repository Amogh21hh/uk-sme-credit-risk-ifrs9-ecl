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ver &amp; Assumptions" sheetId="2" state="visible" r:id="rId4"/>
    <sheet name="Portfolio" sheetId="3" state="visible" r:id="rId5"/>
    <sheet name="ECL Calculation" sheetId="4" state="visible" r:id="rId6"/>
    <sheet name="Stag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<sst xmlns="http://schemas.openxmlformats.org/spreadsheetml/2006/main" count="1601" uniqueCount="596">
  <si>
    <t xml:space="preserve">UK SME Portfolio - IFRS 9 ECL Dashboard</t>
  </si>
  <si>
    <t xml:space="preserve">Total Loans</t>
  </si>
  <si>
    <t xml:space="preserve">Total EAD</t>
  </si>
  <si>
    <t xml:space="preserve">Weighted ECL</t>
  </si>
  <si>
    <t xml:space="preserve">Portfolio Coverage</t>
  </si>
  <si>
    <t xml:space="preserve">Avg 12m PD</t>
  </si>
  <si>
    <t xml:space="preserve">Realised Default Rate</t>
  </si>
  <si>
    <t xml:space="preserve">Stage 1 Count</t>
  </si>
  <si>
    <t xml:space="preserve">Stage 2 Count</t>
  </si>
  <si>
    <t xml:space="preserve">Stage 3 Count</t>
  </si>
  <si>
    <t xml:space="preserve">Notes:</t>
  </si>
  <si>
    <t xml:space="preserve">- All values are model outputs (formulas). Edit scenario weights on 'Cover &amp; Assumptions' to flex.</t>
  </si>
  <si>
    <t xml:space="preserve">- Stage 2 trigger: PD &gt; SICR threshold or DPD &gt;= 30.</t>
  </si>
  <si>
    <t xml:space="preserve">- Stage 3 trigger: DPD &gt;= 90 or default flag = 1.</t>
  </si>
  <si>
    <t xml:space="preserve">- ECL = PD x LGD x EAD with probability-weighted 3-scenario macro overlay (IFRS 9 compliant).</t>
  </si>
  <si>
    <t xml:space="preserve">UK SME Credit Risk Scorecard &amp; IFRS 9 ECL Model</t>
  </si>
  <si>
    <t xml:space="preserve">Author: Amogh H. H.   |   Methodology: PD x LGD x EAD with 3-scenario macro overlay</t>
  </si>
  <si>
    <t xml:space="preserve">Reporting date:</t>
  </si>
  <si>
    <t xml:space="preserve">31-Mar-2026</t>
  </si>
  <si>
    <t xml:space="preserve">Reporting currency:</t>
  </si>
  <si>
    <t xml:space="preserve">GBP</t>
  </si>
  <si>
    <t xml:space="preserve">Portfolio:</t>
  </si>
  <si>
    <t xml:space="preserve">UK SME Lending Book</t>
  </si>
  <si>
    <t xml:space="preserve">Scenario Assumptions (IFRS 9 forward-looking)</t>
  </si>
  <si>
    <t xml:space="preserve">Scenario</t>
  </si>
  <si>
    <t xml:space="preserve">Weight</t>
  </si>
  <si>
    <t xml:space="preserve">PD multiplier</t>
  </si>
  <si>
    <t xml:space="preserve">LGD multiplier</t>
  </si>
  <si>
    <t xml:space="preserve">UK GDP YoY</t>
  </si>
  <si>
    <t xml:space="preserve">Upside</t>
  </si>
  <si>
    <t xml:space="preserve">Base</t>
  </si>
  <si>
    <t xml:space="preserve">Downside</t>
  </si>
  <si>
    <t xml:space="preserve">Total weight check:</t>
  </si>
  <si>
    <t xml:space="preserve">Macro &amp; Policy Inputs</t>
  </si>
  <si>
    <t xml:space="preserve">BoE base rate</t>
  </si>
  <si>
    <t xml:space="preserve">UK unemployment rate</t>
  </si>
  <si>
    <t xml:space="preserve">UK CPI YoY</t>
  </si>
  <si>
    <t xml:space="preserve">SICR PD threshold (Stage 2 trigger)</t>
  </si>
  <si>
    <t xml:space="preserve">Default DPD threshold (Stage 3)</t>
  </si>
  <si>
    <t xml:space="preserve">Colour key:</t>
  </si>
  <si>
    <t xml:space="preserve">Blue text = Input (change me)</t>
  </si>
  <si>
    <t xml:space="preserve">Black text = Formula</t>
  </si>
  <si>
    <t xml:space="preserve">Green text = Cross-sheet link</t>
  </si>
  <si>
    <t xml:space="preserve">Loan ID</t>
  </si>
  <si>
    <t xml:space="preserve">Sector</t>
  </si>
  <si>
    <t xml:space="preserve">Region</t>
  </si>
  <si>
    <t xml:space="preserve">EAD (GBP)</t>
  </si>
  <si>
    <t xml:space="preserve">LGD</t>
  </si>
  <si>
    <t xml:space="preserve">DPD</t>
  </si>
  <si>
    <t xml:space="preserve">12m PD</t>
  </si>
  <si>
    <t xml:space="preserve">Term (m)</t>
  </si>
  <si>
    <t xml:space="preserve">Default flag</t>
  </si>
  <si>
    <t xml:space="preserve">UKSME-101977</t>
  </si>
  <si>
    <t xml:space="preserve">Construction</t>
  </si>
  <si>
    <t xml:space="preserve">London</t>
  </si>
  <si>
    <t xml:space="preserve">UKSME-103880</t>
  </si>
  <si>
    <t xml:space="preserve">Wholesale</t>
  </si>
  <si>
    <t xml:space="preserve">East Midlands</t>
  </si>
  <si>
    <t xml:space="preserve">UKSME-100052</t>
  </si>
  <si>
    <t xml:space="preserve">Professional Services</t>
  </si>
  <si>
    <t xml:space="preserve">West Midlands</t>
  </si>
  <si>
    <t xml:space="preserve">UKSME-102551</t>
  </si>
  <si>
    <t xml:space="preserve">Transport</t>
  </si>
  <si>
    <t xml:space="preserve">UKSME-102246</t>
  </si>
  <si>
    <t xml:space="preserve">Hospitality</t>
  </si>
  <si>
    <t xml:space="preserve">UKSME-100270</t>
  </si>
  <si>
    <t xml:space="preserve">UKSME-100601</t>
  </si>
  <si>
    <t xml:space="preserve">Healthcare</t>
  </si>
  <si>
    <t xml:space="preserve">UKSME-102441</t>
  </si>
  <si>
    <t xml:space="preserve">Manufacturing</t>
  </si>
  <si>
    <t xml:space="preserve">Northern Ireland</t>
  </si>
  <si>
    <t xml:space="preserve">UKSME-103286</t>
  </si>
  <si>
    <t xml:space="preserve">East of England</t>
  </si>
  <si>
    <t xml:space="preserve">UKSME-102967</t>
  </si>
  <si>
    <t xml:space="preserve">South East</t>
  </si>
  <si>
    <t xml:space="preserve">UKSME-104712</t>
  </si>
  <si>
    <t xml:space="preserve">Real Estate</t>
  </si>
  <si>
    <t xml:space="preserve">Wales</t>
  </si>
  <si>
    <t xml:space="preserve">UKSME-109032</t>
  </si>
  <si>
    <t xml:space="preserve">South West</t>
  </si>
  <si>
    <t xml:space="preserve">UKSME-101787</t>
  </si>
  <si>
    <t xml:space="preserve">North East</t>
  </si>
  <si>
    <t xml:space="preserve">UKSME-101698</t>
  </si>
  <si>
    <t xml:space="preserve">Technology</t>
  </si>
  <si>
    <t xml:space="preserve">UKSME-103225</t>
  </si>
  <si>
    <t xml:space="preserve">UKSME-100403</t>
  </si>
  <si>
    <t xml:space="preserve">UKSME-103534</t>
  </si>
  <si>
    <t xml:space="preserve">UKSME-106046</t>
  </si>
  <si>
    <t xml:space="preserve">Retail</t>
  </si>
  <si>
    <t xml:space="preserve">Scotland</t>
  </si>
  <si>
    <t xml:space="preserve">UKSME-103047</t>
  </si>
  <si>
    <t xml:space="preserve">UKSME-108862</t>
  </si>
  <si>
    <t xml:space="preserve">UKSME-107146</t>
  </si>
  <si>
    <t xml:space="preserve">UKSME-100507</t>
  </si>
  <si>
    <t xml:space="preserve">UKSME-104476</t>
  </si>
  <si>
    <t xml:space="preserve">UKSME-101677</t>
  </si>
  <si>
    <t xml:space="preserve">UKSME-102020</t>
  </si>
  <si>
    <t xml:space="preserve">UKSME-101682</t>
  </si>
  <si>
    <t xml:space="preserve">North West</t>
  </si>
  <si>
    <t xml:space="preserve">UKSME-101649</t>
  </si>
  <si>
    <t xml:space="preserve">Yorkshire</t>
  </si>
  <si>
    <t xml:space="preserve">UKSME-102421</t>
  </si>
  <si>
    <t xml:space="preserve">UKSME-107537</t>
  </si>
  <si>
    <t xml:space="preserve">UKSME-104793</t>
  </si>
  <si>
    <t xml:space="preserve">UKSME-109636</t>
  </si>
  <si>
    <t xml:space="preserve">UKSME-101015</t>
  </si>
  <si>
    <t xml:space="preserve">UKSME-108921</t>
  </si>
  <si>
    <t xml:space="preserve">UKSME-103044</t>
  </si>
  <si>
    <t xml:space="preserve">UKSME-103498</t>
  </si>
  <si>
    <t xml:space="preserve">UKSME-105524</t>
  </si>
  <si>
    <t xml:space="preserve">UKSME-109554</t>
  </si>
  <si>
    <t xml:space="preserve">UKSME-102846</t>
  </si>
  <si>
    <t xml:space="preserve">UKSME-100835</t>
  </si>
  <si>
    <t xml:space="preserve">UKSME-104863</t>
  </si>
  <si>
    <t xml:space="preserve">UKSME-103297</t>
  </si>
  <si>
    <t xml:space="preserve">UKSME-107961</t>
  </si>
  <si>
    <t xml:space="preserve">UKSME-103145</t>
  </si>
  <si>
    <t xml:space="preserve">UKSME-106115</t>
  </si>
  <si>
    <t xml:space="preserve">UKSME-101901</t>
  </si>
  <si>
    <t xml:space="preserve">UKSME-101411</t>
  </si>
  <si>
    <t xml:space="preserve">UKSME-100623</t>
  </si>
  <si>
    <t xml:space="preserve">UKSME-103503</t>
  </si>
  <si>
    <t xml:space="preserve">UKSME-103066</t>
  </si>
  <si>
    <t xml:space="preserve">UKSME-100641</t>
  </si>
  <si>
    <t xml:space="preserve">UKSME-102170</t>
  </si>
  <si>
    <t xml:space="preserve">UKSME-106821</t>
  </si>
  <si>
    <t xml:space="preserve">UKSME-107418</t>
  </si>
  <si>
    <t xml:space="preserve">UKSME-101719</t>
  </si>
  <si>
    <t xml:space="preserve">UKSME-101302</t>
  </si>
  <si>
    <t xml:space="preserve">UKSME-107827</t>
  </si>
  <si>
    <t xml:space="preserve">UKSME-105792</t>
  </si>
  <si>
    <t xml:space="preserve">UKSME-109925</t>
  </si>
  <si>
    <t xml:space="preserve">UKSME-108337</t>
  </si>
  <si>
    <t xml:space="preserve">UKSME-103435</t>
  </si>
  <si>
    <t xml:space="preserve">UKSME-103656</t>
  </si>
  <si>
    <t xml:space="preserve">UKSME-105548</t>
  </si>
  <si>
    <t xml:space="preserve">UKSME-100065</t>
  </si>
  <si>
    <t xml:space="preserve">UKSME-102417</t>
  </si>
  <si>
    <t xml:space="preserve">UKSME-103692</t>
  </si>
  <si>
    <t xml:space="preserve">UKSME-103999</t>
  </si>
  <si>
    <t xml:space="preserve">UKSME-105497</t>
  </si>
  <si>
    <t xml:space="preserve">UKSME-100438</t>
  </si>
  <si>
    <t xml:space="preserve">UKSME-103566</t>
  </si>
  <si>
    <t xml:space="preserve">UKSME-106931</t>
  </si>
  <si>
    <t xml:space="preserve">UKSME-101818</t>
  </si>
  <si>
    <t xml:space="preserve">UKSME-103605</t>
  </si>
  <si>
    <t xml:space="preserve">UKSME-102794</t>
  </si>
  <si>
    <t xml:space="preserve">UKSME-105077</t>
  </si>
  <si>
    <t xml:space="preserve">UKSME-102465</t>
  </si>
  <si>
    <t xml:space="preserve">UKSME-104312</t>
  </si>
  <si>
    <t xml:space="preserve">UKSME-105233</t>
  </si>
  <si>
    <t xml:space="preserve">UKSME-106475</t>
  </si>
  <si>
    <t xml:space="preserve">UKSME-104466</t>
  </si>
  <si>
    <t xml:space="preserve">UKSME-104381</t>
  </si>
  <si>
    <t xml:space="preserve">UKSME-105120</t>
  </si>
  <si>
    <t xml:space="preserve">UKSME-104562</t>
  </si>
  <si>
    <t xml:space="preserve">UKSME-100378</t>
  </si>
  <si>
    <t xml:space="preserve">UKSME-102759</t>
  </si>
  <si>
    <t xml:space="preserve">UKSME-106959</t>
  </si>
  <si>
    <t xml:space="preserve">UKSME-106781</t>
  </si>
  <si>
    <t xml:space="preserve">UKSME-101289</t>
  </si>
  <si>
    <t xml:space="preserve">UKSME-106743</t>
  </si>
  <si>
    <t xml:space="preserve">UKSME-100011</t>
  </si>
  <si>
    <t xml:space="preserve">UKSME-102066</t>
  </si>
  <si>
    <t xml:space="preserve">UKSME-106210</t>
  </si>
  <si>
    <t xml:space="preserve">UKSME-104479</t>
  </si>
  <si>
    <t xml:space="preserve">UKSME-101055</t>
  </si>
  <si>
    <t xml:space="preserve">UKSME-103700</t>
  </si>
  <si>
    <t xml:space="preserve">UKSME-105577</t>
  </si>
  <si>
    <t xml:space="preserve">UKSME-109025</t>
  </si>
  <si>
    <t xml:space="preserve">UKSME-104641</t>
  </si>
  <si>
    <t xml:space="preserve">UKSME-108722</t>
  </si>
  <si>
    <t xml:space="preserve">UKSME-109736</t>
  </si>
  <si>
    <t xml:space="preserve">UKSME-101111</t>
  </si>
  <si>
    <t xml:space="preserve">UKSME-109271</t>
  </si>
  <si>
    <t xml:space="preserve">UKSME-102729</t>
  </si>
  <si>
    <t xml:space="preserve">UKSME-100737</t>
  </si>
  <si>
    <t xml:space="preserve">UKSME-101748</t>
  </si>
  <si>
    <t xml:space="preserve">UKSME-109311</t>
  </si>
  <si>
    <t xml:space="preserve">UKSME-107787</t>
  </si>
  <si>
    <t xml:space="preserve">UKSME-105591</t>
  </si>
  <si>
    <t xml:space="preserve">UKSME-102434</t>
  </si>
  <si>
    <t xml:space="preserve">UKSME-101545</t>
  </si>
  <si>
    <t xml:space="preserve">UKSME-102893</t>
  </si>
  <si>
    <t xml:space="preserve">UKSME-103817</t>
  </si>
  <si>
    <t xml:space="preserve">UKSME-101195</t>
  </si>
  <si>
    <t xml:space="preserve">UKSME-108003</t>
  </si>
  <si>
    <t xml:space="preserve">UKSME-103448</t>
  </si>
  <si>
    <t xml:space="preserve">UKSME-101435</t>
  </si>
  <si>
    <t xml:space="preserve">UKSME-109473</t>
  </si>
  <si>
    <t xml:space="preserve">UKSME-108436</t>
  </si>
  <si>
    <t xml:space="preserve">UKSME-103029</t>
  </si>
  <si>
    <t xml:space="preserve">UKSME-106354</t>
  </si>
  <si>
    <t xml:space="preserve">UKSME-103774</t>
  </si>
  <si>
    <t xml:space="preserve">UKSME-108922</t>
  </si>
  <si>
    <t xml:space="preserve">UKSME-100036</t>
  </si>
  <si>
    <t xml:space="preserve">UKSME-103552</t>
  </si>
  <si>
    <t xml:space="preserve">UKSME-103283</t>
  </si>
  <si>
    <t xml:space="preserve">UKSME-106450</t>
  </si>
  <si>
    <t xml:space="preserve">UKSME-109030</t>
  </si>
  <si>
    <t xml:space="preserve">UKSME-105068</t>
  </si>
  <si>
    <t xml:space="preserve">UKSME-105357</t>
  </si>
  <si>
    <t xml:space="preserve">UKSME-100831</t>
  </si>
  <si>
    <t xml:space="preserve">UKSME-100374</t>
  </si>
  <si>
    <t xml:space="preserve">UKSME-104076</t>
  </si>
  <si>
    <t xml:space="preserve">UKSME-108575</t>
  </si>
  <si>
    <t xml:space="preserve">UKSME-108052</t>
  </si>
  <si>
    <t xml:space="preserve">UKSME-103730</t>
  </si>
  <si>
    <t xml:space="preserve">UKSME-104904</t>
  </si>
  <si>
    <t xml:space="preserve">UKSME-105426</t>
  </si>
  <si>
    <t xml:space="preserve">UKSME-101762</t>
  </si>
  <si>
    <t xml:space="preserve">UKSME-101730</t>
  </si>
  <si>
    <t xml:space="preserve">UKSME-103752</t>
  </si>
  <si>
    <t xml:space="preserve">UKSME-105463</t>
  </si>
  <si>
    <t xml:space="preserve">UKSME-103581</t>
  </si>
  <si>
    <t xml:space="preserve">UKSME-107179</t>
  </si>
  <si>
    <t xml:space="preserve">UKSME-101543</t>
  </si>
  <si>
    <t xml:space="preserve">UKSME-107170</t>
  </si>
  <si>
    <t xml:space="preserve">UKSME-100948</t>
  </si>
  <si>
    <t xml:space="preserve">UKSME-100533</t>
  </si>
  <si>
    <t xml:space="preserve">UKSME-102755</t>
  </si>
  <si>
    <t xml:space="preserve">UKSME-107167</t>
  </si>
  <si>
    <t xml:space="preserve">UKSME-101657</t>
  </si>
  <si>
    <t xml:space="preserve">UKSME-102971</t>
  </si>
  <si>
    <t xml:space="preserve">UKSME-103253</t>
  </si>
  <si>
    <t xml:space="preserve">UKSME-102701</t>
  </si>
  <si>
    <t xml:space="preserve">UKSME-106838</t>
  </si>
  <si>
    <t xml:space="preserve">UKSME-108124</t>
  </si>
  <si>
    <t xml:space="preserve">UKSME-100934</t>
  </si>
  <si>
    <t xml:space="preserve">UKSME-105054</t>
  </si>
  <si>
    <t xml:space="preserve">UKSME-100922</t>
  </si>
  <si>
    <t xml:space="preserve">UKSME-109571</t>
  </si>
  <si>
    <t xml:space="preserve">UKSME-106088</t>
  </si>
  <si>
    <t xml:space="preserve">UKSME-104891</t>
  </si>
  <si>
    <t xml:space="preserve">UKSME-104648</t>
  </si>
  <si>
    <t xml:space="preserve">UKSME-101209</t>
  </si>
  <si>
    <t xml:space="preserve">UKSME-104711</t>
  </si>
  <si>
    <t xml:space="preserve">UKSME-104091</t>
  </si>
  <si>
    <t xml:space="preserve">UKSME-109773</t>
  </si>
  <si>
    <t xml:space="preserve">UKSME-104782</t>
  </si>
  <si>
    <t xml:space="preserve">UKSME-107133</t>
  </si>
  <si>
    <t xml:space="preserve">UKSME-106593</t>
  </si>
  <si>
    <t xml:space="preserve">UKSME-103944</t>
  </si>
  <si>
    <t xml:space="preserve">UKSME-100345</t>
  </si>
  <si>
    <t xml:space="preserve">UKSME-105811</t>
  </si>
  <si>
    <t xml:space="preserve">UKSME-103682</t>
  </si>
  <si>
    <t xml:space="preserve">UKSME-106738</t>
  </si>
  <si>
    <t xml:space="preserve">UKSME-108931</t>
  </si>
  <si>
    <t xml:space="preserve">UKSME-103062</t>
  </si>
  <si>
    <t xml:space="preserve">UKSME-102315</t>
  </si>
  <si>
    <t xml:space="preserve">UKSME-105608</t>
  </si>
  <si>
    <t xml:space="preserve">UKSME-100571</t>
  </si>
  <si>
    <t xml:space="preserve">UKSME-106889</t>
  </si>
  <si>
    <t xml:space="preserve">UKSME-101875</t>
  </si>
  <si>
    <t xml:space="preserve">UKSME-100056</t>
  </si>
  <si>
    <t xml:space="preserve">UKSME-103087</t>
  </si>
  <si>
    <t xml:space="preserve">UKSME-106766</t>
  </si>
  <si>
    <t xml:space="preserve">UKSME-109062</t>
  </si>
  <si>
    <t xml:space="preserve">UKSME-101312</t>
  </si>
  <si>
    <t xml:space="preserve">UKSME-107332</t>
  </si>
  <si>
    <t xml:space="preserve">UKSME-101385</t>
  </si>
  <si>
    <t xml:space="preserve">UKSME-106095</t>
  </si>
  <si>
    <t xml:space="preserve">UKSME-103538</t>
  </si>
  <si>
    <t xml:space="preserve">UKSME-108686</t>
  </si>
  <si>
    <t xml:space="preserve">UKSME-108201</t>
  </si>
  <si>
    <t xml:space="preserve">UKSME-109960</t>
  </si>
  <si>
    <t xml:space="preserve">UKSME-100945</t>
  </si>
  <si>
    <t xml:space="preserve">UKSME-101665</t>
  </si>
  <si>
    <t xml:space="preserve">UKSME-101442</t>
  </si>
  <si>
    <t xml:space="preserve">UKSME-105644</t>
  </si>
  <si>
    <t xml:space="preserve">UKSME-105722</t>
  </si>
  <si>
    <t xml:space="preserve">UKSME-104660</t>
  </si>
  <si>
    <t xml:space="preserve">UKSME-102105</t>
  </si>
  <si>
    <t xml:space="preserve">UKSME-101763</t>
  </si>
  <si>
    <t xml:space="preserve">UKSME-106729</t>
  </si>
  <si>
    <t xml:space="preserve">UKSME-107447</t>
  </si>
  <si>
    <t xml:space="preserve">UKSME-100606</t>
  </si>
  <si>
    <t xml:space="preserve">UKSME-104558</t>
  </si>
  <si>
    <t xml:space="preserve">UKSME-106902</t>
  </si>
  <si>
    <t xml:space="preserve">UKSME-103648</t>
  </si>
  <si>
    <t xml:space="preserve">UKSME-104468</t>
  </si>
  <si>
    <t xml:space="preserve">UKSME-109695</t>
  </si>
  <si>
    <t xml:space="preserve">UKSME-102199</t>
  </si>
  <si>
    <t xml:space="preserve">UKSME-100863</t>
  </si>
  <si>
    <t xml:space="preserve">UKSME-105704</t>
  </si>
  <si>
    <t xml:space="preserve">UKSME-105894</t>
  </si>
  <si>
    <t xml:space="preserve">UKSME-107394</t>
  </si>
  <si>
    <t xml:space="preserve">UKSME-105253</t>
  </si>
  <si>
    <t xml:space="preserve">UKSME-107545</t>
  </si>
  <si>
    <t xml:space="preserve">UKSME-104332</t>
  </si>
  <si>
    <t xml:space="preserve">UKSME-101297</t>
  </si>
  <si>
    <t xml:space="preserve">UKSME-103717</t>
  </si>
  <si>
    <t xml:space="preserve">UKSME-103340</t>
  </si>
  <si>
    <t xml:space="preserve">UKSME-108908</t>
  </si>
  <si>
    <t xml:space="preserve">UKSME-101521</t>
  </si>
  <si>
    <t xml:space="preserve">UKSME-107155</t>
  </si>
  <si>
    <t xml:space="preserve">UKSME-102766</t>
  </si>
  <si>
    <t xml:space="preserve">UKSME-104656</t>
  </si>
  <si>
    <t xml:space="preserve">UKSME-109992</t>
  </si>
  <si>
    <t xml:space="preserve">UKSME-102498</t>
  </si>
  <si>
    <t xml:space="preserve">UKSME-100748</t>
  </si>
  <si>
    <t xml:space="preserve">UKSME-103990</t>
  </si>
  <si>
    <t xml:space="preserve">UKSME-101931</t>
  </si>
  <si>
    <t xml:space="preserve">UKSME-103060</t>
  </si>
  <si>
    <t xml:space="preserve">UKSME-108001</t>
  </si>
  <si>
    <t xml:space="preserve">UKSME-102267</t>
  </si>
  <si>
    <t xml:space="preserve">UKSME-106012</t>
  </si>
  <si>
    <t xml:space="preserve">UKSME-105550</t>
  </si>
  <si>
    <t xml:space="preserve">UKSME-106499</t>
  </si>
  <si>
    <t xml:space="preserve">UKSME-105856</t>
  </si>
  <si>
    <t xml:space="preserve">UKSME-102979</t>
  </si>
  <si>
    <t xml:space="preserve">UKSME-105232</t>
  </si>
  <si>
    <t xml:space="preserve">UKSME-102995</t>
  </si>
  <si>
    <t xml:space="preserve">UKSME-102856</t>
  </si>
  <si>
    <t xml:space="preserve">UKSME-104690</t>
  </si>
  <si>
    <t xml:space="preserve">UKSME-108553</t>
  </si>
  <si>
    <t xml:space="preserve">UKSME-101944</t>
  </si>
  <si>
    <t xml:space="preserve">UKSME-109024</t>
  </si>
  <si>
    <t xml:space="preserve">UKSME-108270</t>
  </si>
  <si>
    <t xml:space="preserve">UKSME-107992</t>
  </si>
  <si>
    <t xml:space="preserve">UKSME-106989</t>
  </si>
  <si>
    <t xml:space="preserve">UKSME-104364</t>
  </si>
  <si>
    <t xml:space="preserve">UKSME-109604</t>
  </si>
  <si>
    <t xml:space="preserve">UKSME-109343</t>
  </si>
  <si>
    <t xml:space="preserve">UKSME-104003</t>
  </si>
  <si>
    <t xml:space="preserve">UKSME-103414</t>
  </si>
  <si>
    <t xml:space="preserve">UKSME-102406</t>
  </si>
  <si>
    <t xml:space="preserve">UKSME-102350</t>
  </si>
  <si>
    <t xml:space="preserve">UKSME-106693</t>
  </si>
  <si>
    <t xml:space="preserve">UKSME-109021</t>
  </si>
  <si>
    <t xml:space="preserve">UKSME-103524</t>
  </si>
  <si>
    <t xml:space="preserve">UKSME-105473</t>
  </si>
  <si>
    <t xml:space="preserve">UKSME-109263</t>
  </si>
  <si>
    <t xml:space="preserve">UKSME-109639</t>
  </si>
  <si>
    <t xml:space="preserve">UKSME-107484</t>
  </si>
  <si>
    <t xml:space="preserve">UKSME-103657</t>
  </si>
  <si>
    <t xml:space="preserve">UKSME-102408</t>
  </si>
  <si>
    <t xml:space="preserve">UKSME-107429</t>
  </si>
  <si>
    <t xml:space="preserve">UKSME-108904</t>
  </si>
  <si>
    <t xml:space="preserve">UKSME-105555</t>
  </si>
  <si>
    <t xml:space="preserve">UKSME-101263</t>
  </si>
  <si>
    <t xml:space="preserve">UKSME-106419</t>
  </si>
  <si>
    <t xml:space="preserve">UKSME-101136</t>
  </si>
  <si>
    <t xml:space="preserve">UKSME-106824</t>
  </si>
  <si>
    <t xml:space="preserve">UKSME-106946</t>
  </si>
  <si>
    <t xml:space="preserve">UKSME-105930</t>
  </si>
  <si>
    <t xml:space="preserve">UKSME-108824</t>
  </si>
  <si>
    <t xml:space="preserve">UKSME-108846</t>
  </si>
  <si>
    <t xml:space="preserve">UKSME-102461</t>
  </si>
  <si>
    <t xml:space="preserve">UKSME-102547</t>
  </si>
  <si>
    <t xml:space="preserve">UKSME-106113</t>
  </si>
  <si>
    <t xml:space="preserve">UKSME-103179</t>
  </si>
  <si>
    <t xml:space="preserve">UKSME-108715</t>
  </si>
  <si>
    <t xml:space="preserve">UKSME-101213</t>
  </si>
  <si>
    <t xml:space="preserve">UKSME-104833</t>
  </si>
  <si>
    <t xml:space="preserve">UKSME-107953</t>
  </si>
  <si>
    <t xml:space="preserve">UKSME-104184</t>
  </si>
  <si>
    <t xml:space="preserve">UKSME-101589</t>
  </si>
  <si>
    <t xml:space="preserve">UKSME-102346</t>
  </si>
  <si>
    <t xml:space="preserve">UKSME-102037</t>
  </si>
  <si>
    <t xml:space="preserve">UKSME-109122</t>
  </si>
  <si>
    <t xml:space="preserve">UKSME-101243</t>
  </si>
  <si>
    <t xml:space="preserve">UKSME-100079</t>
  </si>
  <si>
    <t xml:space="preserve">UKSME-105686</t>
  </si>
  <si>
    <t xml:space="preserve">UKSME-106287</t>
  </si>
  <si>
    <t xml:space="preserve">UKSME-100099</t>
  </si>
  <si>
    <t xml:space="preserve">UKSME-107734</t>
  </si>
  <si>
    <t xml:space="preserve">UKSME-100882</t>
  </si>
  <si>
    <t xml:space="preserve">UKSME-101860</t>
  </si>
  <si>
    <t xml:space="preserve">UKSME-102208</t>
  </si>
  <si>
    <t xml:space="preserve">UKSME-108594</t>
  </si>
  <si>
    <t xml:space="preserve">UKSME-100067</t>
  </si>
  <si>
    <t xml:space="preserve">UKSME-106873</t>
  </si>
  <si>
    <t xml:space="preserve">UKSME-102360</t>
  </si>
  <si>
    <t xml:space="preserve">UKSME-100732</t>
  </si>
  <si>
    <t xml:space="preserve">UKSME-109632</t>
  </si>
  <si>
    <t xml:space="preserve">UKSME-107778</t>
  </si>
  <si>
    <t xml:space="preserve">UKSME-105928</t>
  </si>
  <si>
    <t xml:space="preserve">UKSME-100920</t>
  </si>
  <si>
    <t xml:space="preserve">UKSME-107434</t>
  </si>
  <si>
    <t xml:space="preserve">UKSME-108795</t>
  </si>
  <si>
    <t xml:space="preserve">UKSME-101526</t>
  </si>
  <si>
    <t xml:space="preserve">UKSME-105396</t>
  </si>
  <si>
    <t xml:space="preserve">UKSME-100656</t>
  </si>
  <si>
    <t xml:space="preserve">UKSME-107901</t>
  </si>
  <si>
    <t xml:space="preserve">UKSME-101110</t>
  </si>
  <si>
    <t xml:space="preserve">UKSME-107104</t>
  </si>
  <si>
    <t xml:space="preserve">UKSME-108299</t>
  </si>
  <si>
    <t xml:space="preserve">UKSME-102423</t>
  </si>
  <si>
    <t xml:space="preserve">UKSME-100500</t>
  </si>
  <si>
    <t xml:space="preserve">UKSME-108645</t>
  </si>
  <si>
    <t xml:space="preserve">UKSME-109189</t>
  </si>
  <si>
    <t xml:space="preserve">UKSME-108472</t>
  </si>
  <si>
    <t xml:space="preserve">UKSME-103488</t>
  </si>
  <si>
    <t xml:space="preserve">UKSME-100631</t>
  </si>
  <si>
    <t xml:space="preserve">UKSME-103427</t>
  </si>
  <si>
    <t xml:space="preserve">UKSME-100175</t>
  </si>
  <si>
    <t xml:space="preserve">UKSME-100232</t>
  </si>
  <si>
    <t xml:space="preserve">UKSME-102338</t>
  </si>
  <si>
    <t xml:space="preserve">UKSME-106361</t>
  </si>
  <si>
    <t xml:space="preserve">UKSME-101596</t>
  </si>
  <si>
    <t xml:space="preserve">UKSME-103816</t>
  </si>
  <si>
    <t xml:space="preserve">UKSME-103274</t>
  </si>
  <si>
    <t xml:space="preserve">UKSME-105836</t>
  </si>
  <si>
    <t xml:space="preserve">UKSME-108849</t>
  </si>
  <si>
    <t xml:space="preserve">UKSME-105204</t>
  </si>
  <si>
    <t xml:space="preserve">UKSME-103739</t>
  </si>
  <si>
    <t xml:space="preserve">UKSME-107305</t>
  </si>
  <si>
    <t xml:space="preserve">UKSME-108570</t>
  </si>
  <si>
    <t xml:space="preserve">UKSME-105919</t>
  </si>
  <si>
    <t xml:space="preserve">UKSME-106424</t>
  </si>
  <si>
    <t xml:space="preserve">UKSME-101483</t>
  </si>
  <si>
    <t xml:space="preserve">UKSME-106532</t>
  </si>
  <si>
    <t xml:space="preserve">UKSME-103976</t>
  </si>
  <si>
    <t xml:space="preserve">UKSME-104029</t>
  </si>
  <si>
    <t xml:space="preserve">UKSME-103564</t>
  </si>
  <si>
    <t xml:space="preserve">UKSME-109760</t>
  </si>
  <si>
    <t xml:space="preserve">UKSME-101685</t>
  </si>
  <si>
    <t xml:space="preserve">UKSME-100173</t>
  </si>
  <si>
    <t xml:space="preserve">UKSME-101180</t>
  </si>
  <si>
    <t xml:space="preserve">UKSME-101407</t>
  </si>
  <si>
    <t xml:space="preserve">UKSME-108936</t>
  </si>
  <si>
    <t xml:space="preserve">UKSME-106994</t>
  </si>
  <si>
    <t xml:space="preserve">UKSME-103600</t>
  </si>
  <si>
    <t xml:space="preserve">UKSME-105011</t>
  </si>
  <si>
    <t xml:space="preserve">UKSME-104821</t>
  </si>
  <si>
    <t xml:space="preserve">UKSME-104655</t>
  </si>
  <si>
    <t xml:space="preserve">UKSME-104607</t>
  </si>
  <si>
    <t xml:space="preserve">UKSME-109084</t>
  </si>
  <si>
    <t xml:space="preserve">UKSME-108223</t>
  </si>
  <si>
    <t xml:space="preserve">UKSME-108785</t>
  </si>
  <si>
    <t xml:space="preserve">UKSME-106793</t>
  </si>
  <si>
    <t xml:space="preserve">UKSME-101458</t>
  </si>
  <si>
    <t xml:space="preserve">UKSME-105991</t>
  </si>
  <si>
    <t xml:space="preserve">UKSME-105014</t>
  </si>
  <si>
    <t xml:space="preserve">UKSME-101192</t>
  </si>
  <si>
    <t xml:space="preserve">UKSME-103725</t>
  </si>
  <si>
    <t xml:space="preserve">UKSME-109107</t>
  </si>
  <si>
    <t xml:space="preserve">UKSME-100420</t>
  </si>
  <si>
    <t xml:space="preserve">UKSME-102028</t>
  </si>
  <si>
    <t xml:space="preserve">UKSME-108164</t>
  </si>
  <si>
    <t xml:space="preserve">UKSME-106750</t>
  </si>
  <si>
    <t xml:space="preserve">UKSME-104929</t>
  </si>
  <si>
    <t xml:space="preserve">UKSME-107036</t>
  </si>
  <si>
    <t xml:space="preserve">UKSME-103299</t>
  </si>
  <si>
    <t xml:space="preserve">UKSME-105280</t>
  </si>
  <si>
    <t xml:space="preserve">UKSME-104824</t>
  </si>
  <si>
    <t xml:space="preserve">UKSME-106349</t>
  </si>
  <si>
    <t xml:space="preserve">UKSME-102302</t>
  </si>
  <si>
    <t xml:space="preserve">UKSME-106685</t>
  </si>
  <si>
    <t xml:space="preserve">UKSME-101421</t>
  </si>
  <si>
    <t xml:space="preserve">UKSME-104410</t>
  </si>
  <si>
    <t xml:space="preserve">UKSME-102792</t>
  </si>
  <si>
    <t xml:space="preserve">UKSME-108080</t>
  </si>
  <si>
    <t xml:space="preserve">UKSME-109395</t>
  </si>
  <si>
    <t xml:space="preserve">UKSME-103559</t>
  </si>
  <si>
    <t xml:space="preserve">UKSME-102142</t>
  </si>
  <si>
    <t xml:space="preserve">UKSME-100843</t>
  </si>
  <si>
    <t xml:space="preserve">UKSME-101450</t>
  </si>
  <si>
    <t xml:space="preserve">UKSME-108578</t>
  </si>
  <si>
    <t xml:space="preserve">UKSME-105019</t>
  </si>
  <si>
    <t xml:space="preserve">UKSME-103359</t>
  </si>
  <si>
    <t xml:space="preserve">UKSME-108820</t>
  </si>
  <si>
    <t xml:space="preserve">UKSME-106859</t>
  </si>
  <si>
    <t xml:space="preserve">UKSME-104522</t>
  </si>
  <si>
    <t xml:space="preserve">UKSME-101592</t>
  </si>
  <si>
    <t xml:space="preserve">UKSME-106214</t>
  </si>
  <si>
    <t xml:space="preserve">UKSME-106527</t>
  </si>
  <si>
    <t xml:space="preserve">UKSME-105219</t>
  </si>
  <si>
    <t xml:space="preserve">UKSME-105972</t>
  </si>
  <si>
    <t xml:space="preserve">UKSME-101384</t>
  </si>
  <si>
    <t xml:space="preserve">UKSME-103116</t>
  </si>
  <si>
    <t xml:space="preserve">UKSME-102034</t>
  </si>
  <si>
    <t xml:space="preserve">UKSME-102466</t>
  </si>
  <si>
    <t xml:space="preserve">UKSME-102411</t>
  </si>
  <si>
    <t xml:space="preserve">UKSME-108747</t>
  </si>
  <si>
    <t xml:space="preserve">UKSME-107001</t>
  </si>
  <si>
    <t xml:space="preserve">UKSME-100639</t>
  </si>
  <si>
    <t xml:space="preserve">UKSME-103436</t>
  </si>
  <si>
    <t xml:space="preserve">UKSME-104796</t>
  </si>
  <si>
    <t xml:space="preserve">UKSME-106592</t>
  </si>
  <si>
    <t xml:space="preserve">UKSME-102383</t>
  </si>
  <si>
    <t xml:space="preserve">UKSME-106745</t>
  </si>
  <si>
    <t xml:space="preserve">UKSME-101970</t>
  </si>
  <si>
    <t xml:space="preserve">UKSME-106680</t>
  </si>
  <si>
    <t xml:space="preserve">UKSME-109023</t>
  </si>
  <si>
    <t xml:space="preserve">UKSME-103393</t>
  </si>
  <si>
    <t xml:space="preserve">UKSME-104935</t>
  </si>
  <si>
    <t xml:space="preserve">UKSME-101041</t>
  </si>
  <si>
    <t xml:space="preserve">UKSME-104842</t>
  </si>
  <si>
    <t xml:space="preserve">UKSME-102953</t>
  </si>
  <si>
    <t xml:space="preserve">UKSME-101406</t>
  </si>
  <si>
    <t xml:space="preserve">UKSME-109763</t>
  </si>
  <si>
    <t xml:space="preserve">UKSME-105481</t>
  </si>
  <si>
    <t xml:space="preserve">UKSME-102955</t>
  </si>
  <si>
    <t xml:space="preserve">UKSME-105284</t>
  </si>
  <si>
    <t xml:space="preserve">UKSME-108817</t>
  </si>
  <si>
    <t xml:space="preserve">UKSME-101837</t>
  </si>
  <si>
    <t xml:space="preserve">UKSME-102209</t>
  </si>
  <si>
    <t xml:space="preserve">UKSME-108033</t>
  </si>
  <si>
    <t xml:space="preserve">UKSME-106382</t>
  </si>
  <si>
    <t xml:space="preserve">UKSME-107093</t>
  </si>
  <si>
    <t xml:space="preserve">UKSME-108924</t>
  </si>
  <si>
    <t xml:space="preserve">UKSME-109849</t>
  </si>
  <si>
    <t xml:space="preserve">UKSME-103243</t>
  </si>
  <si>
    <t xml:space="preserve">UKSME-108284</t>
  </si>
  <si>
    <t xml:space="preserve">UKSME-106675</t>
  </si>
  <si>
    <t xml:space="preserve">UKSME-100060</t>
  </si>
  <si>
    <t xml:space="preserve">UKSME-105775</t>
  </si>
  <si>
    <t xml:space="preserve">UKSME-105512</t>
  </si>
  <si>
    <t xml:space="preserve">UKSME-104268</t>
  </si>
  <si>
    <t xml:space="preserve">UKSME-103722</t>
  </si>
  <si>
    <t xml:space="preserve">UKSME-107759</t>
  </si>
  <si>
    <t xml:space="preserve">UKSME-109967</t>
  </si>
  <si>
    <t xml:space="preserve">UKSME-105173</t>
  </si>
  <si>
    <t xml:space="preserve">UKSME-107115</t>
  </si>
  <si>
    <t xml:space="preserve">UKSME-108799</t>
  </si>
  <si>
    <t xml:space="preserve">UKSME-100163</t>
  </si>
  <si>
    <t xml:space="preserve">UKSME-103723</t>
  </si>
  <si>
    <t xml:space="preserve">UKSME-108264</t>
  </si>
  <si>
    <t xml:space="preserve">UKSME-106013</t>
  </si>
  <si>
    <t xml:space="preserve">UKSME-104063</t>
  </si>
  <si>
    <t xml:space="preserve">UKSME-106760</t>
  </si>
  <si>
    <t xml:space="preserve">UKSME-102168</t>
  </si>
  <si>
    <t xml:space="preserve">UKSME-103023</t>
  </si>
  <si>
    <t xml:space="preserve">UKSME-104231</t>
  </si>
  <si>
    <t xml:space="preserve">UKSME-104706</t>
  </si>
  <si>
    <t xml:space="preserve">UKSME-106689</t>
  </si>
  <si>
    <t xml:space="preserve">UKSME-105635</t>
  </si>
  <si>
    <t xml:space="preserve">UKSME-103883</t>
  </si>
  <si>
    <t xml:space="preserve">UKSME-100112</t>
  </si>
  <si>
    <t xml:space="preserve">UKSME-105443</t>
  </si>
  <si>
    <t xml:space="preserve">UKSME-101673</t>
  </si>
  <si>
    <t xml:space="preserve">UKSME-108581</t>
  </si>
  <si>
    <t xml:space="preserve">UKSME-109342</t>
  </si>
  <si>
    <t xml:space="preserve">UKSME-108098</t>
  </si>
  <si>
    <t xml:space="preserve">UKSME-104159</t>
  </si>
  <si>
    <t xml:space="preserve">UKSME-101329</t>
  </si>
  <si>
    <t xml:space="preserve">UKSME-109520</t>
  </si>
  <si>
    <t xml:space="preserve">UKSME-103331</t>
  </si>
  <si>
    <t xml:space="preserve">UKSME-104764</t>
  </si>
  <si>
    <t xml:space="preserve">UKSME-103787</t>
  </si>
  <si>
    <t xml:space="preserve">UKSME-108850</t>
  </si>
  <si>
    <t xml:space="preserve">UKSME-106757</t>
  </si>
  <si>
    <t xml:space="preserve">UKSME-100796</t>
  </si>
  <si>
    <t xml:space="preserve">UKSME-109905</t>
  </si>
  <si>
    <t xml:space="preserve">UKSME-103362</t>
  </si>
  <si>
    <t xml:space="preserve">UKSME-104836</t>
  </si>
  <si>
    <t xml:space="preserve">UKSME-100652</t>
  </si>
  <si>
    <t xml:space="preserve">UKSME-108771</t>
  </si>
  <si>
    <t xml:space="preserve">UKSME-101229</t>
  </si>
  <si>
    <t xml:space="preserve">UKSME-104571</t>
  </si>
  <si>
    <t xml:space="preserve">UKSME-107972</t>
  </si>
  <si>
    <t xml:space="preserve">UKSME-108007</t>
  </si>
  <si>
    <t xml:space="preserve">UKSME-100412</t>
  </si>
  <si>
    <t xml:space="preserve">UKSME-102399</t>
  </si>
  <si>
    <t xml:space="preserve">UKSME-105718</t>
  </si>
  <si>
    <t xml:space="preserve">UKSME-104347</t>
  </si>
  <si>
    <t xml:space="preserve">UKSME-100227</t>
  </si>
  <si>
    <t xml:space="preserve">UKSME-106643</t>
  </si>
  <si>
    <t xml:space="preserve">UKSME-107110</t>
  </si>
  <si>
    <t xml:space="preserve">UKSME-102573</t>
  </si>
  <si>
    <t xml:space="preserve">UKSME-100761</t>
  </si>
  <si>
    <t xml:space="preserve">UKSME-101460</t>
  </si>
  <si>
    <t xml:space="preserve">UKSME-102904</t>
  </si>
  <si>
    <t xml:space="preserve">UKSME-102368</t>
  </si>
  <si>
    <t xml:space="preserve">UKSME-101561</t>
  </si>
  <si>
    <t xml:space="preserve">UKSME-104484</t>
  </si>
  <si>
    <t xml:space="preserve">UKSME-108288</t>
  </si>
  <si>
    <t xml:space="preserve">UKSME-103676</t>
  </si>
  <si>
    <t xml:space="preserve">UKSME-108075</t>
  </si>
  <si>
    <t xml:space="preserve">UKSME-101363</t>
  </si>
  <si>
    <t xml:space="preserve">UKSME-106489</t>
  </si>
  <si>
    <t xml:space="preserve">UKSME-109321</t>
  </si>
  <si>
    <t xml:space="preserve">Stage</t>
  </si>
  <si>
    <t xml:space="preserve">Horizon (m)</t>
  </si>
  <si>
    <t xml:space="preserve">Lifetime PD</t>
  </si>
  <si>
    <t xml:space="preserve">PD for ECL</t>
  </si>
  <si>
    <t xml:space="preserve">ECL Upside</t>
  </si>
  <si>
    <t xml:space="preserve">ECL Base</t>
  </si>
  <si>
    <t xml:space="preserve">ECL Downside</t>
  </si>
  <si>
    <t xml:space="preserve">ECL Weighted</t>
  </si>
  <si>
    <t xml:space="preserve">IFRS 9 ECL - Portfolio Summary by Stage</t>
  </si>
  <si>
    <t xml:space="preserve"># Loans</t>
  </si>
  <si>
    <t xml:space="preserve">Weighted ECL (GBP)</t>
  </si>
  <si>
    <t xml:space="preserve">Coverage Ratio</t>
  </si>
  <si>
    <t xml:space="preserve">Stage 1</t>
  </si>
  <si>
    <t xml:space="preserve">Stage 2</t>
  </si>
  <si>
    <t xml:space="preserve">Stage 3</t>
  </si>
  <si>
    <t xml:space="preserve">TOTAL</t>
  </si>
  <si>
    <t xml:space="preserve">ECL by Scenario (GBP)</t>
  </si>
  <si>
    <t xml:space="preserve">Unweighted ECL</t>
  </si>
  <si>
    <t xml:space="preserve">Weighted Contribution</t>
  </si>
  <si>
    <t xml:space="preserve">ECL by Sector</t>
  </si>
  <si>
    <t xml:space="preserve">ECL (GBP)</t>
  </si>
  <si>
    <t xml:space="preserve">Coverage 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</si>
</sst>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&quot;GBP &quot;#,##0"/>
    <numFmt numFmtId="167" formatCode="0.00%"/>
    <numFmt numFmtId="168" formatCode="0.0%"/>
    <numFmt numFmtId="169" formatCode="0.00"/>
    <numFmt numFmtId="170" formatCode="&quot;GBP &quot;#,##0;&quot;(GBP 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1F4E79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i val="true"/>
      <sz val="11"/>
      <color rgb="FF555555"/>
      <name val="Cambria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6400"/>
      <name val="Calibri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6"/>
        <bgColor rgb="FFCCFFFF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DEEBF6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14"/>
  </cols>
  <sheetData>
    <row r="2" customFormat="false" ht="19.7" hidden="false" customHeight="false" outlineLevel="0" collapsed="false">
      <c r="B2" s="1" t="s">
        <v>0</v>
      </c>
    </row>
    <row r="5" customFormat="false" ht="15" hidden="false" customHeight="false" outlineLevel="0" collapsed="false">
      <c r="B5" s="2" t="s">
        <v>1</v>
      </c>
      <c r="C5" s="2"/>
      <c r="E5" s="2" t="s">
        <v>2</v>
      </c>
      <c r="F5" s="2"/>
      <c r="H5" s="2" t="s">
        <v>3</v>
      </c>
      <c r="I5" s="2"/>
    </row>
    <row r="6" customFormat="false" ht="22.05" hidden="false" customHeight="false" outlineLevel="0" collapsed="false">
      <c r="B6" s="3" t="n">
        <f aca="false">COUNTA(Portfolio!A2:A501)</f>
        <v>500</v>
      </c>
      <c r="C6" s="3"/>
      <c r="E6" s="4" t="n">
        <f aca="false">SUM(Portfolio!D2:D501)</f>
        <v>49026759</v>
      </c>
      <c r="F6" s="4"/>
      <c r="H6" s="4" t="n">
        <f aca="false">SUM('ECL Calculation'!N2:N501)</f>
        <v>10128311.7887546</v>
      </c>
      <c r="I6" s="4"/>
    </row>
    <row r="8" customFormat="false" ht="15" hidden="false" customHeight="false" outlineLevel="0" collapsed="false">
      <c r="B8" s="2" t="s">
        <v>4</v>
      </c>
      <c r="C8" s="2"/>
      <c r="E8" s="2" t="s">
        <v>5</v>
      </c>
      <c r="F8" s="2"/>
      <c r="H8" s="2" t="s">
        <v>6</v>
      </c>
      <c r="I8" s="2"/>
    </row>
    <row r="9" customFormat="false" ht="22.05" hidden="false" customHeight="false" outlineLevel="0" collapsed="false">
      <c r="B9" s="5" t="n">
        <f aca="false">SUM('ECL Calculation'!N2:N501)/SUM(Portfolio!D2:D501)</f>
        <v>0.206587422773645</v>
      </c>
      <c r="C9" s="5"/>
      <c r="E9" s="5" t="n">
        <f aca="false">AVERAGE(Portfolio!G2:G501)</f>
        <v>0.171701352544803</v>
      </c>
      <c r="F9" s="5"/>
      <c r="H9" s="5" t="n">
        <f aca="false">AVERAGE(Portfolio!I2:I501)</f>
        <v>0.174</v>
      </c>
      <c r="I9" s="5"/>
    </row>
    <row r="11" customFormat="false" ht="15" hidden="false" customHeight="false" outlineLevel="0" collapsed="false">
      <c r="B11" s="2" t="s">
        <v>7</v>
      </c>
      <c r="C11" s="2"/>
      <c r="E11" s="2" t="s">
        <v>8</v>
      </c>
      <c r="F11" s="2"/>
      <c r="H11" s="2" t="s">
        <v>9</v>
      </c>
      <c r="I11" s="2"/>
    </row>
    <row r="12" customFormat="false" ht="22.05" hidden="false" customHeight="false" outlineLevel="0" collapsed="false">
      <c r="B12" s="3" t="n">
        <f aca="false">COUNTIF('ECL Calculation'!G2:G501,"Stage 1")</f>
        <v>190</v>
      </c>
      <c r="C12" s="3"/>
      <c r="E12" s="3" t="n">
        <f aca="false">COUNTIF('ECL Calculation'!G2:G501,"Stage 2")</f>
        <v>220</v>
      </c>
      <c r="F12" s="3"/>
      <c r="H12" s="3" t="n">
        <f aca="false">COUNTIF('ECL Calculation'!G2:G501,"Stage 3")</f>
        <v>90</v>
      </c>
      <c r="I12" s="3"/>
    </row>
    <row r="17" customFormat="false" ht="15" hidden="false" customHeight="false" outlineLevel="0" collapsed="false">
      <c r="B17" s="6" t="s">
        <v>10</v>
      </c>
    </row>
    <row r="18" customFormat="false" ht="15" hidden="false" customHeight="false" outlineLevel="0" collapsed="false">
      <c r="B18" s="0" t="s">
        <v>11</v>
      </c>
    </row>
    <row r="19" customFormat="false" ht="15" hidden="false" customHeight="false" outlineLevel="0" collapsed="false">
      <c r="B19" s="0" t="s">
        <v>12</v>
      </c>
    </row>
    <row r="20" customFormat="false" ht="15" hidden="false" customHeight="false" outlineLevel="0" collapsed="false">
      <c r="B20" s="0" t="s">
        <v>13</v>
      </c>
    </row>
    <row r="21" customFormat="false" ht="15" hidden="false" customHeight="false" outlineLevel="0" collapsed="false">
      <c r="B21" s="0" t="s">
        <v>14</v>
      </c>
    </row>
  </sheetData>
  <mergeCells count="18">
    <mergeCell ref="B5:C5"/>
    <mergeCell ref="E5:F5"/>
    <mergeCell ref="H5:I5"/>
    <mergeCell ref="B6:C6"/>
    <mergeCell ref="E6:F6"/>
    <mergeCell ref="H6:I6"/>
    <mergeCell ref="B8:C8"/>
    <mergeCell ref="E8:F8"/>
    <mergeCell ref="H8:I8"/>
    <mergeCell ref="B9:C9"/>
    <mergeCell ref="E9:F9"/>
    <mergeCell ref="H9:I9"/>
    <mergeCell ref="B11:C11"/>
    <mergeCell ref="E11:F11"/>
    <mergeCell ref="H11:I11"/>
    <mergeCell ref="B12:C12"/>
    <mergeCell ref="E12:F12"/>
    <mergeCell ref="H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15</v>
      </c>
    </row>
    <row r="3" customFormat="false" ht="15" hidden="false" customHeight="false" outlineLevel="0" collapsed="false">
      <c r="B3" s="7" t="s">
        <v>16</v>
      </c>
    </row>
    <row r="5" customFormat="false" ht="15" hidden="false" customHeight="false" outlineLevel="0" collapsed="false">
      <c r="B5" s="0" t="s">
        <v>17</v>
      </c>
      <c r="C5" s="8" t="s">
        <v>18</v>
      </c>
    </row>
    <row r="6" customFormat="false" ht="15" hidden="false" customHeight="false" outlineLevel="0" collapsed="false">
      <c r="B6" s="0" t="s">
        <v>19</v>
      </c>
      <c r="C6" s="8" t="s">
        <v>20</v>
      </c>
    </row>
    <row r="7" customFormat="false" ht="15" hidden="false" customHeight="false" outlineLevel="0" collapsed="false">
      <c r="B7" s="0" t="s">
        <v>21</v>
      </c>
      <c r="C7" s="8" t="s">
        <v>22</v>
      </c>
    </row>
    <row r="9" customFormat="false" ht="15" hidden="false" customHeight="false" outlineLevel="0" collapsed="false">
      <c r="B9" s="9" t="s">
        <v>23</v>
      </c>
      <c r="C9" s="9"/>
      <c r="D9" s="9"/>
      <c r="E9" s="9"/>
      <c r="F9" s="9"/>
    </row>
    <row r="10" customFormat="false" ht="15" hidden="false" customHeight="false" outlineLevel="0" collapsed="false"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</row>
    <row r="11" customFormat="false" ht="15" hidden="false" customHeight="false" outlineLevel="0" collapsed="false">
      <c r="B11" s="10" t="s">
        <v>29</v>
      </c>
      <c r="C11" s="11" t="n">
        <v>0.2</v>
      </c>
      <c r="D11" s="12" t="n">
        <v>0.85</v>
      </c>
      <c r="E11" s="12" t="n">
        <v>0.95</v>
      </c>
      <c r="F11" s="11" t="n">
        <v>0.024</v>
      </c>
    </row>
    <row r="12" customFormat="false" ht="15" hidden="false" customHeight="false" outlineLevel="0" collapsed="false">
      <c r="B12" s="10" t="s">
        <v>30</v>
      </c>
      <c r="C12" s="11" t="n">
        <v>0.55</v>
      </c>
      <c r="D12" s="12" t="n">
        <v>1</v>
      </c>
      <c r="E12" s="12" t="n">
        <v>1</v>
      </c>
      <c r="F12" s="11" t="n">
        <v>0.006</v>
      </c>
    </row>
    <row r="13" customFormat="false" ht="15" hidden="false" customHeight="false" outlineLevel="0" collapsed="false">
      <c r="B13" s="10" t="s">
        <v>31</v>
      </c>
      <c r="C13" s="11" t="n">
        <v>0.25</v>
      </c>
      <c r="D13" s="12" t="n">
        <v>1.45</v>
      </c>
      <c r="E13" s="12" t="n">
        <v>1.2</v>
      </c>
      <c r="F13" s="11" t="n">
        <v>-0.012</v>
      </c>
    </row>
    <row r="14" customFormat="false" ht="15" hidden="false" customHeight="false" outlineLevel="0" collapsed="false">
      <c r="B14" s="0" t="s">
        <v>32</v>
      </c>
      <c r="C14" s="13" t="n">
        <f aca="false">SUM(C11:C13)</f>
        <v>1</v>
      </c>
    </row>
    <row r="17" customFormat="false" ht="15" hidden="false" customHeight="false" outlineLevel="0" collapsed="false">
      <c r="B17" s="9" t="s">
        <v>33</v>
      </c>
      <c r="C17" s="9"/>
      <c r="D17" s="9"/>
      <c r="E17" s="9"/>
      <c r="F17" s="9"/>
    </row>
    <row r="18" customFormat="false" ht="15" hidden="false" customHeight="false" outlineLevel="0" collapsed="false">
      <c r="B18" s="10" t="s">
        <v>34</v>
      </c>
      <c r="C18" s="14" t="n">
        <v>0.0525</v>
      </c>
    </row>
    <row r="19" customFormat="false" ht="15" hidden="false" customHeight="false" outlineLevel="0" collapsed="false">
      <c r="B19" s="10" t="s">
        <v>35</v>
      </c>
      <c r="C19" s="14" t="n">
        <v>0.043</v>
      </c>
    </row>
    <row r="20" customFormat="false" ht="15" hidden="false" customHeight="false" outlineLevel="0" collapsed="false">
      <c r="B20" s="10" t="s">
        <v>36</v>
      </c>
      <c r="C20" s="14" t="n">
        <v>0.022</v>
      </c>
    </row>
    <row r="21" customFormat="false" ht="15" hidden="false" customHeight="false" outlineLevel="0" collapsed="false">
      <c r="B21" s="10" t="s">
        <v>37</v>
      </c>
      <c r="C21" s="14" t="n">
        <v>0.15</v>
      </c>
    </row>
    <row r="22" customFormat="false" ht="15" hidden="false" customHeight="false" outlineLevel="0" collapsed="false">
      <c r="B22" s="10" t="s">
        <v>38</v>
      </c>
      <c r="C22" s="15" t="n">
        <v>90</v>
      </c>
    </row>
    <row r="25" customFormat="false" ht="15" hidden="false" customHeight="false" outlineLevel="0" collapsed="false">
      <c r="B25" s="0" t="s">
        <v>39</v>
      </c>
    </row>
    <row r="26" customFormat="false" ht="15" hidden="false" customHeight="false" outlineLevel="0" collapsed="false">
      <c r="B26" s="8" t="s">
        <v>40</v>
      </c>
    </row>
    <row r="27" customFormat="false" ht="15" hidden="false" customHeight="false" outlineLevel="0" collapsed="false">
      <c r="B27" s="16" t="s">
        <v>41</v>
      </c>
    </row>
    <row r="28" customFormat="false" ht="15" hidden="false" customHeight="false" outlineLevel="0" collapsed="false">
      <c r="B28" s="17" t="s">
        <v>42</v>
      </c>
    </row>
  </sheetData>
  <mergeCells count="2">
    <mergeCell ref="B9:F9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9" min="4" style="0" width="13"/>
  </cols>
  <sheetData>
    <row r="1" customFormat="false" ht="15" hidden="false" customHeight="false" outlineLevel="0" collapsed="false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</row>
    <row r="2" customFormat="false" ht="15" hidden="false" customHeight="false" outlineLevel="0" collapsed="false">
      <c r="A2" s="10" t="s">
        <v>52</v>
      </c>
      <c r="B2" s="10" t="s">
        <v>53</v>
      </c>
      <c r="C2" s="10" t="s">
        <v>54</v>
      </c>
      <c r="D2" s="18" t="n">
        <v>134823</v>
      </c>
      <c r="E2" s="19" t="n">
        <v>0.929</v>
      </c>
      <c r="F2" s="10" t="n">
        <v>0</v>
      </c>
      <c r="G2" s="20" t="n">
        <v>0.129273469496504</v>
      </c>
      <c r="H2" s="10" t="n">
        <v>24</v>
      </c>
      <c r="I2" s="10" t="n">
        <v>0</v>
      </c>
    </row>
    <row r="3" customFormat="false" ht="15" hidden="false" customHeight="false" outlineLevel="0" collapsed="false">
      <c r="A3" s="10" t="s">
        <v>55</v>
      </c>
      <c r="B3" s="10" t="s">
        <v>56</v>
      </c>
      <c r="C3" s="10" t="s">
        <v>57</v>
      </c>
      <c r="D3" s="18" t="n">
        <v>11687</v>
      </c>
      <c r="E3" s="19" t="n">
        <v>0.571</v>
      </c>
      <c r="F3" s="10" t="n">
        <v>0</v>
      </c>
      <c r="G3" s="20" t="n">
        <v>0.166573144027219</v>
      </c>
      <c r="H3" s="10" t="n">
        <v>60</v>
      </c>
      <c r="I3" s="10" t="n">
        <v>0</v>
      </c>
    </row>
    <row r="4" customFormat="false" ht="15" hidden="false" customHeight="false" outlineLevel="0" collapsed="false">
      <c r="A4" s="10" t="s">
        <v>58</v>
      </c>
      <c r="B4" s="10" t="s">
        <v>59</v>
      </c>
      <c r="C4" s="10" t="s">
        <v>60</v>
      </c>
      <c r="D4" s="18" t="n">
        <v>29277</v>
      </c>
      <c r="E4" s="19" t="n">
        <v>0.252</v>
      </c>
      <c r="F4" s="10" t="n">
        <v>0</v>
      </c>
      <c r="G4" s="20" t="n">
        <v>0.134934197899277</v>
      </c>
      <c r="H4" s="10" t="n">
        <v>84</v>
      </c>
      <c r="I4" s="10" t="n">
        <v>0</v>
      </c>
    </row>
    <row r="5" customFormat="false" ht="15" hidden="false" customHeight="false" outlineLevel="0" collapsed="false">
      <c r="A5" s="10" t="s">
        <v>61</v>
      </c>
      <c r="B5" s="10" t="s">
        <v>62</v>
      </c>
      <c r="C5" s="10" t="s">
        <v>60</v>
      </c>
      <c r="D5" s="18" t="n">
        <v>120662</v>
      </c>
      <c r="E5" s="19" t="n">
        <v>0.147</v>
      </c>
      <c r="F5" s="10" t="n">
        <v>0</v>
      </c>
      <c r="G5" s="20" t="n">
        <v>0.130450597583029</v>
      </c>
      <c r="H5" s="10" t="n">
        <v>120</v>
      </c>
      <c r="I5" s="10" t="n">
        <v>1</v>
      </c>
    </row>
    <row r="6" customFormat="false" ht="15" hidden="false" customHeight="false" outlineLevel="0" collapsed="false">
      <c r="A6" s="10" t="s">
        <v>63</v>
      </c>
      <c r="B6" s="10" t="s">
        <v>64</v>
      </c>
      <c r="C6" s="10" t="s">
        <v>54</v>
      </c>
      <c r="D6" s="18" t="n">
        <v>30592</v>
      </c>
      <c r="E6" s="19" t="n">
        <v>0.891</v>
      </c>
      <c r="F6" s="10" t="n">
        <v>0</v>
      </c>
      <c r="G6" s="20" t="n">
        <v>0.0101670415441454</v>
      </c>
      <c r="H6" s="10" t="n">
        <v>36</v>
      </c>
      <c r="I6" s="10" t="n">
        <v>0</v>
      </c>
    </row>
    <row r="7" customFormat="false" ht="15" hidden="false" customHeight="false" outlineLevel="0" collapsed="false">
      <c r="A7" s="10" t="s">
        <v>65</v>
      </c>
      <c r="B7" s="10" t="s">
        <v>53</v>
      </c>
      <c r="C7" s="10" t="s">
        <v>54</v>
      </c>
      <c r="D7" s="18" t="n">
        <v>171778</v>
      </c>
      <c r="E7" s="19" t="n">
        <v>0.577</v>
      </c>
      <c r="F7" s="10" t="n">
        <v>0</v>
      </c>
      <c r="G7" s="20" t="n">
        <v>0.239097307668319</v>
      </c>
      <c r="H7" s="10" t="n">
        <v>36</v>
      </c>
      <c r="I7" s="10" t="n">
        <v>0</v>
      </c>
    </row>
    <row r="8" customFormat="false" ht="15" hidden="false" customHeight="false" outlineLevel="0" collapsed="false">
      <c r="A8" s="10" t="s">
        <v>66</v>
      </c>
      <c r="B8" s="10" t="s">
        <v>67</v>
      </c>
      <c r="C8" s="10" t="s">
        <v>57</v>
      </c>
      <c r="D8" s="18" t="n">
        <v>211880</v>
      </c>
      <c r="E8" s="19" t="n">
        <v>0.214</v>
      </c>
      <c r="F8" s="10" t="n">
        <v>0</v>
      </c>
      <c r="G8" s="20" t="n">
        <v>0.062716066456547</v>
      </c>
      <c r="H8" s="10" t="n">
        <v>36</v>
      </c>
      <c r="I8" s="10" t="n">
        <v>0</v>
      </c>
    </row>
    <row r="9" customFormat="false" ht="15" hidden="false" customHeight="false" outlineLevel="0" collapsed="false">
      <c r="A9" s="10" t="s">
        <v>68</v>
      </c>
      <c r="B9" s="10" t="s">
        <v>69</v>
      </c>
      <c r="C9" s="10" t="s">
        <v>70</v>
      </c>
      <c r="D9" s="18" t="n">
        <v>92085</v>
      </c>
      <c r="E9" s="19" t="n">
        <v>0.599</v>
      </c>
      <c r="F9" s="10" t="n">
        <v>0</v>
      </c>
      <c r="G9" s="20" t="n">
        <v>0.23648718511993</v>
      </c>
      <c r="H9" s="10" t="n">
        <v>48</v>
      </c>
      <c r="I9" s="10" t="n">
        <v>0</v>
      </c>
    </row>
    <row r="10" customFormat="false" ht="15" hidden="false" customHeight="false" outlineLevel="0" collapsed="false">
      <c r="A10" s="10" t="s">
        <v>71</v>
      </c>
      <c r="B10" s="10" t="s">
        <v>62</v>
      </c>
      <c r="C10" s="10" t="s">
        <v>72</v>
      </c>
      <c r="D10" s="18" t="n">
        <v>386439</v>
      </c>
      <c r="E10" s="19" t="n">
        <v>0.819</v>
      </c>
      <c r="F10" s="10" t="n">
        <v>0</v>
      </c>
      <c r="G10" s="20" t="n">
        <v>0.263698413721609</v>
      </c>
      <c r="H10" s="10" t="n">
        <v>24</v>
      </c>
      <c r="I10" s="10" t="n">
        <v>0</v>
      </c>
    </row>
    <row r="11" customFormat="false" ht="15" hidden="false" customHeight="false" outlineLevel="0" collapsed="false">
      <c r="A11" s="10" t="s">
        <v>73</v>
      </c>
      <c r="B11" s="10" t="s">
        <v>62</v>
      </c>
      <c r="C11" s="10" t="s">
        <v>74</v>
      </c>
      <c r="D11" s="18" t="n">
        <v>58726</v>
      </c>
      <c r="E11" s="19" t="n">
        <v>0.05</v>
      </c>
      <c r="F11" s="10" t="n">
        <v>0</v>
      </c>
      <c r="G11" s="20" t="n">
        <v>0.0778274897637797</v>
      </c>
      <c r="H11" s="10" t="n">
        <v>36</v>
      </c>
      <c r="I11" s="10" t="n">
        <v>0</v>
      </c>
    </row>
    <row r="12" customFormat="false" ht="15" hidden="false" customHeight="false" outlineLevel="0" collapsed="false">
      <c r="A12" s="10" t="s">
        <v>75</v>
      </c>
      <c r="B12" s="10" t="s">
        <v>76</v>
      </c>
      <c r="C12" s="10" t="s">
        <v>77</v>
      </c>
      <c r="D12" s="18" t="n">
        <v>49936</v>
      </c>
      <c r="E12" s="19" t="n">
        <v>0.661</v>
      </c>
      <c r="F12" s="10" t="n">
        <v>0</v>
      </c>
      <c r="G12" s="20" t="n">
        <v>0.25555500214069</v>
      </c>
      <c r="H12" s="10" t="n">
        <v>36</v>
      </c>
      <c r="I12" s="10" t="n">
        <v>1</v>
      </c>
    </row>
    <row r="13" customFormat="false" ht="15" hidden="false" customHeight="false" outlineLevel="0" collapsed="false">
      <c r="A13" s="10" t="s">
        <v>78</v>
      </c>
      <c r="B13" s="10" t="s">
        <v>64</v>
      </c>
      <c r="C13" s="10" t="s">
        <v>79</v>
      </c>
      <c r="D13" s="18" t="n">
        <v>41912</v>
      </c>
      <c r="E13" s="19" t="n">
        <v>0.806</v>
      </c>
      <c r="F13" s="10" t="n">
        <v>0</v>
      </c>
      <c r="G13" s="20" t="n">
        <v>0.198813681289656</v>
      </c>
      <c r="H13" s="10" t="n">
        <v>48</v>
      </c>
      <c r="I13" s="10" t="n">
        <v>0</v>
      </c>
    </row>
    <row r="14" customFormat="false" ht="15" hidden="false" customHeight="false" outlineLevel="0" collapsed="false">
      <c r="A14" s="10" t="s">
        <v>80</v>
      </c>
      <c r="B14" s="10" t="s">
        <v>67</v>
      </c>
      <c r="C14" s="10" t="s">
        <v>81</v>
      </c>
      <c r="D14" s="18" t="n">
        <v>101623</v>
      </c>
      <c r="E14" s="19" t="n">
        <v>0.713</v>
      </c>
      <c r="F14" s="10" t="n">
        <v>0</v>
      </c>
      <c r="G14" s="20" t="n">
        <v>0.229858953835898</v>
      </c>
      <c r="H14" s="10" t="n">
        <v>60</v>
      </c>
      <c r="I14" s="10" t="n">
        <v>1</v>
      </c>
    </row>
    <row r="15" customFormat="false" ht="15" hidden="false" customHeight="false" outlineLevel="0" collapsed="false">
      <c r="A15" s="10" t="s">
        <v>82</v>
      </c>
      <c r="B15" s="10" t="s">
        <v>83</v>
      </c>
      <c r="C15" s="10" t="s">
        <v>81</v>
      </c>
      <c r="D15" s="18" t="n">
        <v>184588</v>
      </c>
      <c r="E15" s="19" t="n">
        <v>0.655</v>
      </c>
      <c r="F15" s="10" t="n">
        <v>0</v>
      </c>
      <c r="G15" s="20" t="n">
        <v>0.128695926278337</v>
      </c>
      <c r="H15" s="10" t="n">
        <v>48</v>
      </c>
      <c r="I15" s="10" t="n">
        <v>0</v>
      </c>
    </row>
    <row r="16" customFormat="false" ht="15" hidden="false" customHeight="false" outlineLevel="0" collapsed="false">
      <c r="A16" s="10" t="s">
        <v>84</v>
      </c>
      <c r="B16" s="10" t="s">
        <v>56</v>
      </c>
      <c r="C16" s="10" t="s">
        <v>54</v>
      </c>
      <c r="D16" s="18" t="n">
        <v>12475</v>
      </c>
      <c r="E16" s="19" t="n">
        <v>0.695</v>
      </c>
      <c r="F16" s="10" t="n">
        <v>0</v>
      </c>
      <c r="G16" s="20" t="n">
        <v>0.199243884664861</v>
      </c>
      <c r="H16" s="10" t="n">
        <v>48</v>
      </c>
      <c r="I16" s="10" t="n">
        <v>0</v>
      </c>
    </row>
    <row r="17" customFormat="false" ht="15" hidden="false" customHeight="false" outlineLevel="0" collapsed="false">
      <c r="A17" s="10" t="s">
        <v>85</v>
      </c>
      <c r="B17" s="10" t="s">
        <v>56</v>
      </c>
      <c r="C17" s="10" t="s">
        <v>77</v>
      </c>
      <c r="D17" s="18" t="n">
        <v>15112</v>
      </c>
      <c r="E17" s="19" t="n">
        <v>0.751</v>
      </c>
      <c r="F17" s="10" t="n">
        <v>0</v>
      </c>
      <c r="G17" s="20" t="n">
        <v>0.300626348231586</v>
      </c>
      <c r="H17" s="10" t="n">
        <v>60</v>
      </c>
      <c r="I17" s="10" t="n">
        <v>1</v>
      </c>
    </row>
    <row r="18" customFormat="false" ht="15" hidden="false" customHeight="false" outlineLevel="0" collapsed="false">
      <c r="A18" s="10" t="s">
        <v>86</v>
      </c>
      <c r="B18" s="10" t="s">
        <v>62</v>
      </c>
      <c r="C18" s="10" t="s">
        <v>72</v>
      </c>
      <c r="D18" s="18" t="n">
        <v>12196</v>
      </c>
      <c r="E18" s="19" t="n">
        <v>0.617</v>
      </c>
      <c r="F18" s="10" t="n">
        <v>0</v>
      </c>
      <c r="G18" s="20" t="n">
        <v>0.200267319767812</v>
      </c>
      <c r="H18" s="10" t="n">
        <v>48</v>
      </c>
      <c r="I18" s="10" t="n">
        <v>0</v>
      </c>
    </row>
    <row r="19" customFormat="false" ht="15" hidden="false" customHeight="false" outlineLevel="0" collapsed="false">
      <c r="A19" s="10" t="s">
        <v>87</v>
      </c>
      <c r="B19" s="10" t="s">
        <v>88</v>
      </c>
      <c r="C19" s="10" t="s">
        <v>89</v>
      </c>
      <c r="D19" s="18" t="n">
        <v>118661</v>
      </c>
      <c r="E19" s="19" t="n">
        <v>0.56</v>
      </c>
      <c r="F19" s="10" t="n">
        <v>0</v>
      </c>
      <c r="G19" s="20" t="n">
        <v>0.0940277183323296</v>
      </c>
      <c r="H19" s="10" t="n">
        <v>72</v>
      </c>
      <c r="I19" s="10" t="n">
        <v>0</v>
      </c>
    </row>
    <row r="20" customFormat="false" ht="15" hidden="false" customHeight="false" outlineLevel="0" collapsed="false">
      <c r="A20" s="10" t="s">
        <v>90</v>
      </c>
      <c r="B20" s="10" t="s">
        <v>64</v>
      </c>
      <c r="C20" s="10" t="s">
        <v>79</v>
      </c>
      <c r="D20" s="18" t="n">
        <v>154580</v>
      </c>
      <c r="E20" s="19" t="n">
        <v>0.682</v>
      </c>
      <c r="F20" s="10" t="n">
        <v>0</v>
      </c>
      <c r="G20" s="20" t="n">
        <v>0.245333905956436</v>
      </c>
      <c r="H20" s="10" t="n">
        <v>120</v>
      </c>
      <c r="I20" s="10" t="n">
        <v>0</v>
      </c>
    </row>
    <row r="21" customFormat="false" ht="15" hidden="false" customHeight="false" outlineLevel="0" collapsed="false">
      <c r="A21" s="10" t="s">
        <v>91</v>
      </c>
      <c r="B21" s="10" t="s">
        <v>59</v>
      </c>
      <c r="C21" s="10" t="s">
        <v>79</v>
      </c>
      <c r="D21" s="18" t="n">
        <v>94504</v>
      </c>
      <c r="E21" s="19" t="n">
        <v>0.787</v>
      </c>
      <c r="F21" s="10" t="n">
        <v>0</v>
      </c>
      <c r="G21" s="20" t="n">
        <v>0.0517675664579633</v>
      </c>
      <c r="H21" s="10" t="n">
        <v>36</v>
      </c>
      <c r="I21" s="10" t="n">
        <v>0</v>
      </c>
    </row>
    <row r="22" customFormat="false" ht="15" hidden="false" customHeight="false" outlineLevel="0" collapsed="false">
      <c r="A22" s="10" t="s">
        <v>92</v>
      </c>
      <c r="B22" s="10" t="s">
        <v>83</v>
      </c>
      <c r="C22" s="10" t="s">
        <v>54</v>
      </c>
      <c r="D22" s="18" t="n">
        <v>125463</v>
      </c>
      <c r="E22" s="19" t="n">
        <v>0.095</v>
      </c>
      <c r="F22" s="10" t="n">
        <v>0</v>
      </c>
      <c r="G22" s="20" t="n">
        <v>0.0732986624461325</v>
      </c>
      <c r="H22" s="10" t="n">
        <v>120</v>
      </c>
      <c r="I22" s="10" t="n">
        <v>0</v>
      </c>
    </row>
    <row r="23" customFormat="false" ht="15" hidden="false" customHeight="false" outlineLevel="0" collapsed="false">
      <c r="A23" s="10" t="s">
        <v>93</v>
      </c>
      <c r="B23" s="10" t="s">
        <v>67</v>
      </c>
      <c r="C23" s="10" t="s">
        <v>60</v>
      </c>
      <c r="D23" s="18" t="n">
        <v>48838</v>
      </c>
      <c r="E23" s="19" t="n">
        <v>0.344</v>
      </c>
      <c r="F23" s="10" t="n">
        <v>0</v>
      </c>
      <c r="G23" s="20" t="n">
        <v>0.46244686110161</v>
      </c>
      <c r="H23" s="10" t="n">
        <v>36</v>
      </c>
      <c r="I23" s="10" t="n">
        <v>0</v>
      </c>
    </row>
    <row r="24" customFormat="false" ht="15" hidden="false" customHeight="false" outlineLevel="0" collapsed="false">
      <c r="A24" s="10" t="s">
        <v>94</v>
      </c>
      <c r="B24" s="10" t="s">
        <v>76</v>
      </c>
      <c r="C24" s="10" t="s">
        <v>74</v>
      </c>
      <c r="D24" s="18" t="n">
        <v>25515</v>
      </c>
      <c r="E24" s="19" t="n">
        <v>0.322</v>
      </c>
      <c r="F24" s="10" t="n">
        <v>0</v>
      </c>
      <c r="G24" s="20" t="n">
        <v>0.202734155443586</v>
      </c>
      <c r="H24" s="10" t="n">
        <v>36</v>
      </c>
      <c r="I24" s="10" t="n">
        <v>1</v>
      </c>
    </row>
    <row r="25" customFormat="false" ht="15" hidden="false" customHeight="false" outlineLevel="0" collapsed="false">
      <c r="A25" s="10" t="s">
        <v>95</v>
      </c>
      <c r="B25" s="10" t="s">
        <v>69</v>
      </c>
      <c r="C25" s="10" t="s">
        <v>54</v>
      </c>
      <c r="D25" s="18" t="n">
        <v>40083</v>
      </c>
      <c r="E25" s="19" t="n">
        <v>0.552</v>
      </c>
      <c r="F25" s="10" t="n">
        <v>0</v>
      </c>
      <c r="G25" s="20" t="n">
        <v>0.167011257482892</v>
      </c>
      <c r="H25" s="10" t="n">
        <v>24</v>
      </c>
      <c r="I25" s="10" t="n">
        <v>0</v>
      </c>
    </row>
    <row r="26" customFormat="false" ht="15" hidden="false" customHeight="false" outlineLevel="0" collapsed="false">
      <c r="A26" s="10" t="s">
        <v>96</v>
      </c>
      <c r="B26" s="10" t="s">
        <v>53</v>
      </c>
      <c r="C26" s="10" t="s">
        <v>72</v>
      </c>
      <c r="D26" s="18" t="n">
        <v>37527</v>
      </c>
      <c r="E26" s="19" t="n">
        <v>0.464</v>
      </c>
      <c r="F26" s="10" t="n">
        <v>0</v>
      </c>
      <c r="G26" s="20" t="n">
        <v>0.160170738325399</v>
      </c>
      <c r="H26" s="10" t="n">
        <v>48</v>
      </c>
      <c r="I26" s="10" t="n">
        <v>0</v>
      </c>
    </row>
    <row r="27" customFormat="false" ht="15" hidden="false" customHeight="false" outlineLevel="0" collapsed="false">
      <c r="A27" s="10" t="s">
        <v>97</v>
      </c>
      <c r="B27" s="10" t="s">
        <v>59</v>
      </c>
      <c r="C27" s="10" t="s">
        <v>98</v>
      </c>
      <c r="D27" s="18" t="n">
        <v>38008</v>
      </c>
      <c r="E27" s="19" t="n">
        <v>0.815</v>
      </c>
      <c r="F27" s="10" t="n">
        <v>0</v>
      </c>
      <c r="G27" s="20" t="n">
        <v>0.21907864805696</v>
      </c>
      <c r="H27" s="10" t="n">
        <v>60</v>
      </c>
      <c r="I27" s="10" t="n">
        <v>0</v>
      </c>
    </row>
    <row r="28" customFormat="false" ht="15" hidden="false" customHeight="false" outlineLevel="0" collapsed="false">
      <c r="A28" s="10" t="s">
        <v>99</v>
      </c>
      <c r="B28" s="10" t="s">
        <v>83</v>
      </c>
      <c r="C28" s="10" t="s">
        <v>100</v>
      </c>
      <c r="D28" s="18" t="n">
        <v>81713</v>
      </c>
      <c r="E28" s="19" t="n">
        <v>0.821</v>
      </c>
      <c r="F28" s="10" t="n">
        <v>0</v>
      </c>
      <c r="G28" s="20" t="n">
        <v>0.182758854079114</v>
      </c>
      <c r="H28" s="10" t="n">
        <v>120</v>
      </c>
      <c r="I28" s="10" t="n">
        <v>1</v>
      </c>
    </row>
    <row r="29" customFormat="false" ht="15" hidden="false" customHeight="false" outlineLevel="0" collapsed="false">
      <c r="A29" s="10" t="s">
        <v>101</v>
      </c>
      <c r="B29" s="10" t="s">
        <v>69</v>
      </c>
      <c r="C29" s="10" t="s">
        <v>77</v>
      </c>
      <c r="D29" s="18" t="n">
        <v>327772</v>
      </c>
      <c r="E29" s="19" t="n">
        <v>0.592</v>
      </c>
      <c r="F29" s="10" t="n">
        <v>0</v>
      </c>
      <c r="G29" s="20" t="n">
        <v>0.14171605955514</v>
      </c>
      <c r="H29" s="10" t="n">
        <v>60</v>
      </c>
      <c r="I29" s="10" t="n">
        <v>0</v>
      </c>
    </row>
    <row r="30" customFormat="false" ht="15" hidden="false" customHeight="false" outlineLevel="0" collapsed="false">
      <c r="A30" s="10" t="s">
        <v>102</v>
      </c>
      <c r="B30" s="10" t="s">
        <v>62</v>
      </c>
      <c r="C30" s="10" t="s">
        <v>100</v>
      </c>
      <c r="D30" s="18" t="n">
        <v>13587</v>
      </c>
      <c r="E30" s="19" t="n">
        <v>0.174</v>
      </c>
      <c r="F30" s="10" t="n">
        <v>0</v>
      </c>
      <c r="G30" s="20" t="n">
        <v>0.131610068168167</v>
      </c>
      <c r="H30" s="10" t="n">
        <v>84</v>
      </c>
      <c r="I30" s="10" t="n">
        <v>0</v>
      </c>
    </row>
    <row r="31" customFormat="false" ht="15" hidden="false" customHeight="false" outlineLevel="0" collapsed="false">
      <c r="A31" s="10" t="s">
        <v>103</v>
      </c>
      <c r="B31" s="10" t="s">
        <v>53</v>
      </c>
      <c r="C31" s="10" t="s">
        <v>89</v>
      </c>
      <c r="D31" s="18" t="n">
        <v>137016</v>
      </c>
      <c r="E31" s="19" t="n">
        <v>0.833</v>
      </c>
      <c r="F31" s="10" t="n">
        <v>0</v>
      </c>
      <c r="G31" s="20" t="n">
        <v>0.222583149229266</v>
      </c>
      <c r="H31" s="10" t="n">
        <v>72</v>
      </c>
      <c r="I31" s="10" t="n">
        <v>0</v>
      </c>
    </row>
    <row r="32" customFormat="false" ht="15" hidden="false" customHeight="false" outlineLevel="0" collapsed="false">
      <c r="A32" s="10" t="s">
        <v>104</v>
      </c>
      <c r="B32" s="10" t="s">
        <v>59</v>
      </c>
      <c r="C32" s="10" t="s">
        <v>74</v>
      </c>
      <c r="D32" s="18" t="n">
        <v>16696</v>
      </c>
      <c r="E32" s="19" t="n">
        <v>0.214</v>
      </c>
      <c r="F32" s="10" t="n">
        <v>15</v>
      </c>
      <c r="G32" s="20" t="n">
        <v>0.237112616216345</v>
      </c>
      <c r="H32" s="10" t="n">
        <v>60</v>
      </c>
      <c r="I32" s="10" t="n">
        <v>0</v>
      </c>
    </row>
    <row r="33" customFormat="false" ht="15" hidden="false" customHeight="false" outlineLevel="0" collapsed="false">
      <c r="A33" s="10" t="s">
        <v>105</v>
      </c>
      <c r="B33" s="10" t="s">
        <v>69</v>
      </c>
      <c r="C33" s="10" t="s">
        <v>60</v>
      </c>
      <c r="D33" s="18" t="n">
        <v>62655</v>
      </c>
      <c r="E33" s="19" t="n">
        <v>0.901</v>
      </c>
      <c r="F33" s="10" t="n">
        <v>35</v>
      </c>
      <c r="G33" s="20" t="n">
        <v>0.295481985006753</v>
      </c>
      <c r="H33" s="10" t="n">
        <v>48</v>
      </c>
      <c r="I33" s="10" t="n">
        <v>0</v>
      </c>
    </row>
    <row r="34" customFormat="false" ht="15" hidden="false" customHeight="false" outlineLevel="0" collapsed="false">
      <c r="A34" s="10" t="s">
        <v>106</v>
      </c>
      <c r="B34" s="10" t="s">
        <v>67</v>
      </c>
      <c r="C34" s="10" t="s">
        <v>54</v>
      </c>
      <c r="D34" s="18" t="n">
        <v>140961</v>
      </c>
      <c r="E34" s="19" t="n">
        <v>0.462</v>
      </c>
      <c r="F34" s="10" t="n">
        <v>0</v>
      </c>
      <c r="G34" s="20" t="n">
        <v>0.139043023611805</v>
      </c>
      <c r="H34" s="10" t="n">
        <v>60</v>
      </c>
      <c r="I34" s="10" t="n">
        <v>0</v>
      </c>
    </row>
    <row r="35" customFormat="false" ht="15" hidden="false" customHeight="false" outlineLevel="0" collapsed="false">
      <c r="A35" s="10" t="s">
        <v>107</v>
      </c>
      <c r="B35" s="10" t="s">
        <v>83</v>
      </c>
      <c r="C35" s="10" t="s">
        <v>54</v>
      </c>
      <c r="D35" s="18" t="n">
        <v>211413</v>
      </c>
      <c r="E35" s="19" t="n">
        <v>0.541</v>
      </c>
      <c r="F35" s="10" t="n">
        <v>0</v>
      </c>
      <c r="G35" s="20" t="n">
        <v>0.122754618101984</v>
      </c>
      <c r="H35" s="10" t="n">
        <v>36</v>
      </c>
      <c r="I35" s="10" t="n">
        <v>0</v>
      </c>
    </row>
    <row r="36" customFormat="false" ht="15" hidden="false" customHeight="false" outlineLevel="0" collapsed="false">
      <c r="A36" s="10" t="s">
        <v>108</v>
      </c>
      <c r="B36" s="10" t="s">
        <v>69</v>
      </c>
      <c r="C36" s="10" t="s">
        <v>74</v>
      </c>
      <c r="D36" s="18" t="n">
        <v>15323</v>
      </c>
      <c r="E36" s="19" t="n">
        <v>0.474</v>
      </c>
      <c r="F36" s="10" t="n">
        <v>0</v>
      </c>
      <c r="G36" s="20" t="n">
        <v>0.190175670524104</v>
      </c>
      <c r="H36" s="10" t="n">
        <v>60</v>
      </c>
      <c r="I36" s="10" t="n">
        <v>0</v>
      </c>
    </row>
    <row r="37" customFormat="false" ht="15" hidden="false" customHeight="false" outlineLevel="0" collapsed="false">
      <c r="A37" s="10" t="s">
        <v>109</v>
      </c>
      <c r="B37" s="10" t="s">
        <v>88</v>
      </c>
      <c r="C37" s="10" t="s">
        <v>60</v>
      </c>
      <c r="D37" s="18" t="n">
        <v>31368</v>
      </c>
      <c r="E37" s="19" t="n">
        <v>0.273</v>
      </c>
      <c r="F37" s="10" t="n">
        <v>0</v>
      </c>
      <c r="G37" s="20" t="n">
        <v>0.001</v>
      </c>
      <c r="H37" s="10" t="n">
        <v>36</v>
      </c>
      <c r="I37" s="10" t="n">
        <v>0</v>
      </c>
    </row>
    <row r="38" customFormat="false" ht="15" hidden="false" customHeight="false" outlineLevel="0" collapsed="false">
      <c r="A38" s="10" t="s">
        <v>110</v>
      </c>
      <c r="B38" s="10" t="s">
        <v>62</v>
      </c>
      <c r="C38" s="10" t="s">
        <v>79</v>
      </c>
      <c r="D38" s="18" t="n">
        <v>46984</v>
      </c>
      <c r="E38" s="19" t="n">
        <v>0.075</v>
      </c>
      <c r="F38" s="10" t="n">
        <v>0</v>
      </c>
      <c r="G38" s="20" t="n">
        <v>0.224203598474115</v>
      </c>
      <c r="H38" s="10" t="n">
        <v>84</v>
      </c>
      <c r="I38" s="10" t="n">
        <v>1</v>
      </c>
    </row>
    <row r="39" customFormat="false" ht="15" hidden="false" customHeight="false" outlineLevel="0" collapsed="false">
      <c r="A39" s="10" t="s">
        <v>111</v>
      </c>
      <c r="B39" s="10" t="s">
        <v>62</v>
      </c>
      <c r="C39" s="10" t="s">
        <v>79</v>
      </c>
      <c r="D39" s="18" t="n">
        <v>136092</v>
      </c>
      <c r="E39" s="19" t="n">
        <v>0.696</v>
      </c>
      <c r="F39" s="10" t="n">
        <v>0</v>
      </c>
      <c r="G39" s="20" t="n">
        <v>0.102610641115196</v>
      </c>
      <c r="H39" s="10" t="n">
        <v>36</v>
      </c>
      <c r="I39" s="10" t="n">
        <v>0</v>
      </c>
    </row>
    <row r="40" customFormat="false" ht="15" hidden="false" customHeight="false" outlineLevel="0" collapsed="false">
      <c r="A40" s="10" t="s">
        <v>112</v>
      </c>
      <c r="B40" s="10" t="s">
        <v>67</v>
      </c>
      <c r="C40" s="10" t="s">
        <v>72</v>
      </c>
      <c r="D40" s="18" t="n">
        <v>65601</v>
      </c>
      <c r="E40" s="19" t="n">
        <v>0.851</v>
      </c>
      <c r="F40" s="10" t="n">
        <v>0</v>
      </c>
      <c r="G40" s="20" t="n">
        <v>0.0936126859171111</v>
      </c>
      <c r="H40" s="10" t="n">
        <v>60</v>
      </c>
      <c r="I40" s="10" t="n">
        <v>0</v>
      </c>
    </row>
    <row r="41" customFormat="false" ht="15" hidden="false" customHeight="false" outlineLevel="0" collapsed="false">
      <c r="A41" s="10" t="s">
        <v>113</v>
      </c>
      <c r="B41" s="10" t="s">
        <v>69</v>
      </c>
      <c r="C41" s="10" t="s">
        <v>74</v>
      </c>
      <c r="D41" s="18" t="n">
        <v>257114</v>
      </c>
      <c r="E41" s="19" t="n">
        <v>0.818</v>
      </c>
      <c r="F41" s="10" t="n">
        <v>0</v>
      </c>
      <c r="G41" s="20" t="n">
        <v>0.226696591539684</v>
      </c>
      <c r="H41" s="10" t="n">
        <v>48</v>
      </c>
      <c r="I41" s="10" t="n">
        <v>0</v>
      </c>
    </row>
    <row r="42" customFormat="false" ht="15" hidden="false" customHeight="false" outlineLevel="0" collapsed="false">
      <c r="A42" s="10" t="s">
        <v>114</v>
      </c>
      <c r="B42" s="10" t="s">
        <v>67</v>
      </c>
      <c r="C42" s="10" t="s">
        <v>98</v>
      </c>
      <c r="D42" s="18" t="n">
        <v>36341</v>
      </c>
      <c r="E42" s="19" t="n">
        <v>0.153</v>
      </c>
      <c r="F42" s="10" t="n">
        <v>35</v>
      </c>
      <c r="G42" s="20" t="n">
        <v>0.186187471502227</v>
      </c>
      <c r="H42" s="10" t="n">
        <v>36</v>
      </c>
      <c r="I42" s="10" t="n">
        <v>0</v>
      </c>
    </row>
    <row r="43" customFormat="false" ht="15" hidden="false" customHeight="false" outlineLevel="0" collapsed="false">
      <c r="A43" s="10" t="s">
        <v>115</v>
      </c>
      <c r="B43" s="10" t="s">
        <v>76</v>
      </c>
      <c r="C43" s="10" t="s">
        <v>57</v>
      </c>
      <c r="D43" s="18" t="n">
        <v>34004</v>
      </c>
      <c r="E43" s="19" t="n">
        <v>0.816</v>
      </c>
      <c r="F43" s="10" t="n">
        <v>0</v>
      </c>
      <c r="G43" s="20" t="n">
        <v>0.245504826145045</v>
      </c>
      <c r="H43" s="10" t="n">
        <v>60</v>
      </c>
      <c r="I43" s="10" t="n">
        <v>0</v>
      </c>
    </row>
    <row r="44" customFormat="false" ht="15" hidden="false" customHeight="false" outlineLevel="0" collapsed="false">
      <c r="A44" s="10" t="s">
        <v>116</v>
      </c>
      <c r="B44" s="10" t="s">
        <v>69</v>
      </c>
      <c r="C44" s="10" t="s">
        <v>72</v>
      </c>
      <c r="D44" s="18" t="n">
        <v>121318</v>
      </c>
      <c r="E44" s="19" t="n">
        <v>0.293</v>
      </c>
      <c r="F44" s="10" t="n">
        <v>0</v>
      </c>
      <c r="G44" s="20" t="n">
        <v>0.0856745200527179</v>
      </c>
      <c r="H44" s="10" t="n">
        <v>48</v>
      </c>
      <c r="I44" s="10" t="n">
        <v>0</v>
      </c>
    </row>
    <row r="45" customFormat="false" ht="15" hidden="false" customHeight="false" outlineLevel="0" collapsed="false">
      <c r="A45" s="10" t="s">
        <v>117</v>
      </c>
      <c r="B45" s="10" t="s">
        <v>59</v>
      </c>
      <c r="C45" s="10" t="s">
        <v>57</v>
      </c>
      <c r="D45" s="18" t="n">
        <v>98125</v>
      </c>
      <c r="E45" s="19" t="n">
        <v>0.464</v>
      </c>
      <c r="F45" s="10" t="n">
        <v>0</v>
      </c>
      <c r="G45" s="20" t="n">
        <v>0.14984490813255</v>
      </c>
      <c r="H45" s="10" t="n">
        <v>60</v>
      </c>
      <c r="I45" s="10" t="n">
        <v>0</v>
      </c>
    </row>
    <row r="46" customFormat="false" ht="15" hidden="false" customHeight="false" outlineLevel="0" collapsed="false">
      <c r="A46" s="10" t="s">
        <v>118</v>
      </c>
      <c r="B46" s="10" t="s">
        <v>56</v>
      </c>
      <c r="C46" s="10" t="s">
        <v>74</v>
      </c>
      <c r="D46" s="18" t="n">
        <v>60243</v>
      </c>
      <c r="E46" s="19" t="n">
        <v>0.819</v>
      </c>
      <c r="F46" s="10" t="n">
        <v>0</v>
      </c>
      <c r="G46" s="20" t="n">
        <v>0.158243859610598</v>
      </c>
      <c r="H46" s="10" t="n">
        <v>36</v>
      </c>
      <c r="I46" s="10" t="n">
        <v>0</v>
      </c>
    </row>
    <row r="47" customFormat="false" ht="15" hidden="false" customHeight="false" outlineLevel="0" collapsed="false">
      <c r="A47" s="10" t="s">
        <v>119</v>
      </c>
      <c r="B47" s="10" t="s">
        <v>62</v>
      </c>
      <c r="C47" s="10" t="s">
        <v>89</v>
      </c>
      <c r="D47" s="18" t="n">
        <v>76157</v>
      </c>
      <c r="E47" s="19" t="n">
        <v>0.828</v>
      </c>
      <c r="F47" s="10" t="n">
        <v>0</v>
      </c>
      <c r="G47" s="20" t="n">
        <v>0.188016300961557</v>
      </c>
      <c r="H47" s="10" t="n">
        <v>72</v>
      </c>
      <c r="I47" s="10" t="n">
        <v>0</v>
      </c>
    </row>
    <row r="48" customFormat="false" ht="15" hidden="false" customHeight="false" outlineLevel="0" collapsed="false">
      <c r="A48" s="10" t="s">
        <v>120</v>
      </c>
      <c r="B48" s="10" t="s">
        <v>62</v>
      </c>
      <c r="C48" s="10" t="s">
        <v>89</v>
      </c>
      <c r="D48" s="18" t="n">
        <v>106842</v>
      </c>
      <c r="E48" s="19" t="n">
        <v>0.272</v>
      </c>
      <c r="F48" s="10" t="n">
        <v>0</v>
      </c>
      <c r="G48" s="20" t="n">
        <v>0.142402116615492</v>
      </c>
      <c r="H48" s="10" t="n">
        <v>84</v>
      </c>
      <c r="I48" s="10" t="n">
        <v>0</v>
      </c>
    </row>
    <row r="49" customFormat="false" ht="15" hidden="false" customHeight="false" outlineLevel="0" collapsed="false">
      <c r="A49" s="10" t="s">
        <v>121</v>
      </c>
      <c r="B49" s="10" t="s">
        <v>69</v>
      </c>
      <c r="C49" s="10" t="s">
        <v>72</v>
      </c>
      <c r="D49" s="18" t="n">
        <v>83933</v>
      </c>
      <c r="E49" s="19" t="n">
        <v>0.614</v>
      </c>
      <c r="F49" s="10" t="n">
        <v>5</v>
      </c>
      <c r="G49" s="20" t="n">
        <v>0.126485581561068</v>
      </c>
      <c r="H49" s="10" t="n">
        <v>84</v>
      </c>
      <c r="I49" s="10" t="n">
        <v>1</v>
      </c>
    </row>
    <row r="50" customFormat="false" ht="15" hidden="false" customHeight="false" outlineLevel="0" collapsed="false">
      <c r="A50" s="10" t="s">
        <v>122</v>
      </c>
      <c r="B50" s="10" t="s">
        <v>62</v>
      </c>
      <c r="C50" s="10" t="s">
        <v>79</v>
      </c>
      <c r="D50" s="18" t="n">
        <v>60988</v>
      </c>
      <c r="E50" s="19" t="n">
        <v>0.254</v>
      </c>
      <c r="F50" s="10" t="n">
        <v>0</v>
      </c>
      <c r="G50" s="20" t="n">
        <v>0.164762359561554</v>
      </c>
      <c r="H50" s="10" t="n">
        <v>60</v>
      </c>
      <c r="I50" s="10" t="n">
        <v>0</v>
      </c>
    </row>
    <row r="51" customFormat="false" ht="15" hidden="false" customHeight="false" outlineLevel="0" collapsed="false">
      <c r="A51" s="10" t="s">
        <v>123</v>
      </c>
      <c r="B51" s="10" t="s">
        <v>64</v>
      </c>
      <c r="C51" s="10" t="s">
        <v>74</v>
      </c>
      <c r="D51" s="18" t="n">
        <v>54874</v>
      </c>
      <c r="E51" s="19" t="n">
        <v>0.597</v>
      </c>
      <c r="F51" s="10" t="n">
        <v>0</v>
      </c>
      <c r="G51" s="20" t="n">
        <v>0.172012625137107</v>
      </c>
      <c r="H51" s="10" t="n">
        <v>48</v>
      </c>
      <c r="I51" s="10" t="n">
        <v>0</v>
      </c>
    </row>
    <row r="52" customFormat="false" ht="15" hidden="false" customHeight="false" outlineLevel="0" collapsed="false">
      <c r="A52" s="10" t="s">
        <v>124</v>
      </c>
      <c r="B52" s="10" t="s">
        <v>53</v>
      </c>
      <c r="C52" s="10" t="s">
        <v>79</v>
      </c>
      <c r="D52" s="18" t="n">
        <v>167668</v>
      </c>
      <c r="E52" s="19" t="n">
        <v>0.679</v>
      </c>
      <c r="F52" s="10" t="n">
        <v>0</v>
      </c>
      <c r="G52" s="20" t="n">
        <v>0.191063555359226</v>
      </c>
      <c r="H52" s="10" t="n">
        <v>48</v>
      </c>
      <c r="I52" s="10" t="n">
        <v>0</v>
      </c>
    </row>
    <row r="53" customFormat="false" ht="15" hidden="false" customHeight="false" outlineLevel="0" collapsed="false">
      <c r="A53" s="10" t="s">
        <v>125</v>
      </c>
      <c r="B53" s="10" t="s">
        <v>59</v>
      </c>
      <c r="C53" s="10" t="s">
        <v>89</v>
      </c>
      <c r="D53" s="18" t="n">
        <v>134698</v>
      </c>
      <c r="E53" s="19" t="n">
        <v>0.254</v>
      </c>
      <c r="F53" s="10" t="n">
        <v>0</v>
      </c>
      <c r="G53" s="20" t="n">
        <v>0.130516706948276</v>
      </c>
      <c r="H53" s="10" t="n">
        <v>24</v>
      </c>
      <c r="I53" s="10" t="n">
        <v>0</v>
      </c>
    </row>
    <row r="54" customFormat="false" ht="15" hidden="false" customHeight="false" outlineLevel="0" collapsed="false">
      <c r="A54" s="10" t="s">
        <v>126</v>
      </c>
      <c r="B54" s="10" t="s">
        <v>67</v>
      </c>
      <c r="C54" s="10" t="s">
        <v>54</v>
      </c>
      <c r="D54" s="18" t="n">
        <v>12115</v>
      </c>
      <c r="E54" s="19" t="n">
        <v>0.374</v>
      </c>
      <c r="F54" s="10" t="n">
        <v>0</v>
      </c>
      <c r="G54" s="20" t="n">
        <v>0.154820832936832</v>
      </c>
      <c r="H54" s="10" t="n">
        <v>84</v>
      </c>
      <c r="I54" s="10" t="n">
        <v>1</v>
      </c>
    </row>
    <row r="55" customFormat="false" ht="15" hidden="false" customHeight="false" outlineLevel="0" collapsed="false">
      <c r="A55" s="10" t="s">
        <v>127</v>
      </c>
      <c r="B55" s="10" t="s">
        <v>83</v>
      </c>
      <c r="C55" s="10" t="s">
        <v>60</v>
      </c>
      <c r="D55" s="18" t="n">
        <v>112835</v>
      </c>
      <c r="E55" s="19" t="n">
        <v>0.607</v>
      </c>
      <c r="F55" s="10" t="n">
        <v>0</v>
      </c>
      <c r="G55" s="20" t="n">
        <v>0.110551868678005</v>
      </c>
      <c r="H55" s="10" t="n">
        <v>24</v>
      </c>
      <c r="I55" s="10" t="n">
        <v>0</v>
      </c>
    </row>
    <row r="56" customFormat="false" ht="15" hidden="false" customHeight="false" outlineLevel="0" collapsed="false">
      <c r="A56" s="10" t="s">
        <v>128</v>
      </c>
      <c r="B56" s="10" t="s">
        <v>56</v>
      </c>
      <c r="C56" s="10" t="s">
        <v>54</v>
      </c>
      <c r="D56" s="18" t="n">
        <v>502471</v>
      </c>
      <c r="E56" s="19" t="n">
        <v>0.226</v>
      </c>
      <c r="F56" s="10" t="n">
        <v>0</v>
      </c>
      <c r="G56" s="20" t="n">
        <v>0.234346842085332</v>
      </c>
      <c r="H56" s="10" t="n">
        <v>48</v>
      </c>
      <c r="I56" s="10" t="n">
        <v>0</v>
      </c>
    </row>
    <row r="57" customFormat="false" ht="15" hidden="false" customHeight="false" outlineLevel="0" collapsed="false">
      <c r="A57" s="10" t="s">
        <v>129</v>
      </c>
      <c r="B57" s="10" t="s">
        <v>53</v>
      </c>
      <c r="C57" s="10" t="s">
        <v>79</v>
      </c>
      <c r="D57" s="18" t="n">
        <v>100338</v>
      </c>
      <c r="E57" s="19" t="n">
        <v>0.636</v>
      </c>
      <c r="F57" s="10" t="n">
        <v>35</v>
      </c>
      <c r="G57" s="20" t="n">
        <v>0.262611548265993</v>
      </c>
      <c r="H57" s="10" t="n">
        <v>60</v>
      </c>
      <c r="I57" s="10" t="n">
        <v>0</v>
      </c>
    </row>
    <row r="58" customFormat="false" ht="15" hidden="false" customHeight="false" outlineLevel="0" collapsed="false">
      <c r="A58" s="10" t="s">
        <v>130</v>
      </c>
      <c r="B58" s="10" t="s">
        <v>76</v>
      </c>
      <c r="C58" s="10" t="s">
        <v>79</v>
      </c>
      <c r="D58" s="18" t="n">
        <v>198251</v>
      </c>
      <c r="E58" s="19" t="n">
        <v>0.305</v>
      </c>
      <c r="F58" s="10" t="n">
        <v>0</v>
      </c>
      <c r="G58" s="20" t="n">
        <v>0.15284591489567</v>
      </c>
      <c r="H58" s="10" t="n">
        <v>48</v>
      </c>
      <c r="I58" s="10" t="n">
        <v>0</v>
      </c>
    </row>
    <row r="59" customFormat="false" ht="15" hidden="false" customHeight="false" outlineLevel="0" collapsed="false">
      <c r="A59" s="10" t="s">
        <v>131</v>
      </c>
      <c r="B59" s="10" t="s">
        <v>83</v>
      </c>
      <c r="C59" s="10" t="s">
        <v>79</v>
      </c>
      <c r="D59" s="18" t="n">
        <v>23979</v>
      </c>
      <c r="E59" s="19" t="n">
        <v>0.735</v>
      </c>
      <c r="F59" s="10" t="n">
        <v>0</v>
      </c>
      <c r="G59" s="20" t="n">
        <v>0.167808226558703</v>
      </c>
      <c r="H59" s="10" t="n">
        <v>60</v>
      </c>
      <c r="I59" s="10" t="n">
        <v>0</v>
      </c>
    </row>
    <row r="60" customFormat="false" ht="15" hidden="false" customHeight="false" outlineLevel="0" collapsed="false">
      <c r="A60" s="10" t="s">
        <v>132</v>
      </c>
      <c r="B60" s="10" t="s">
        <v>88</v>
      </c>
      <c r="C60" s="10" t="s">
        <v>100</v>
      </c>
      <c r="D60" s="18" t="n">
        <v>18454</v>
      </c>
      <c r="E60" s="19" t="n">
        <v>0.247</v>
      </c>
      <c r="F60" s="10" t="n">
        <v>0</v>
      </c>
      <c r="G60" s="20" t="n">
        <v>0.162156524936216</v>
      </c>
      <c r="H60" s="10" t="n">
        <v>84</v>
      </c>
      <c r="I60" s="10" t="n">
        <v>0</v>
      </c>
    </row>
    <row r="61" customFormat="false" ht="15" hidden="false" customHeight="false" outlineLevel="0" collapsed="false">
      <c r="A61" s="10" t="s">
        <v>133</v>
      </c>
      <c r="B61" s="10" t="s">
        <v>83</v>
      </c>
      <c r="C61" s="10" t="s">
        <v>74</v>
      </c>
      <c r="D61" s="18" t="n">
        <v>170814</v>
      </c>
      <c r="E61" s="19" t="n">
        <v>0.349</v>
      </c>
      <c r="F61" s="10" t="n">
        <v>0</v>
      </c>
      <c r="G61" s="20" t="n">
        <v>0.155281580502944</v>
      </c>
      <c r="H61" s="10" t="n">
        <v>60</v>
      </c>
      <c r="I61" s="10" t="n">
        <v>0</v>
      </c>
    </row>
    <row r="62" customFormat="false" ht="15" hidden="false" customHeight="false" outlineLevel="0" collapsed="false">
      <c r="A62" s="10" t="s">
        <v>134</v>
      </c>
      <c r="B62" s="10" t="s">
        <v>83</v>
      </c>
      <c r="C62" s="10" t="s">
        <v>60</v>
      </c>
      <c r="D62" s="18" t="n">
        <v>72122</v>
      </c>
      <c r="E62" s="19" t="n">
        <v>0.157</v>
      </c>
      <c r="F62" s="10" t="n">
        <v>0</v>
      </c>
      <c r="G62" s="20" t="n">
        <v>0.167658102269075</v>
      </c>
      <c r="H62" s="10" t="n">
        <v>120</v>
      </c>
      <c r="I62" s="10" t="n">
        <v>0</v>
      </c>
    </row>
    <row r="63" customFormat="false" ht="15" hidden="false" customHeight="false" outlineLevel="0" collapsed="false">
      <c r="A63" s="10" t="s">
        <v>135</v>
      </c>
      <c r="B63" s="10" t="s">
        <v>69</v>
      </c>
      <c r="C63" s="10" t="s">
        <v>57</v>
      </c>
      <c r="D63" s="18" t="n">
        <v>31970</v>
      </c>
      <c r="E63" s="19" t="n">
        <v>0.273</v>
      </c>
      <c r="F63" s="10" t="n">
        <v>0</v>
      </c>
      <c r="G63" s="20" t="n">
        <v>0.111862179370863</v>
      </c>
      <c r="H63" s="10" t="n">
        <v>84</v>
      </c>
      <c r="I63" s="10" t="n">
        <v>0</v>
      </c>
    </row>
    <row r="64" customFormat="false" ht="15" hidden="false" customHeight="false" outlineLevel="0" collapsed="false">
      <c r="A64" s="10" t="s">
        <v>136</v>
      </c>
      <c r="B64" s="10" t="s">
        <v>62</v>
      </c>
      <c r="C64" s="10" t="s">
        <v>72</v>
      </c>
      <c r="D64" s="18" t="n">
        <v>30986</v>
      </c>
      <c r="E64" s="19" t="n">
        <v>0.128</v>
      </c>
      <c r="F64" s="10" t="n">
        <v>65</v>
      </c>
      <c r="G64" s="20" t="n">
        <v>0.322449814484095</v>
      </c>
      <c r="H64" s="10" t="n">
        <v>48</v>
      </c>
      <c r="I64" s="10" t="n">
        <v>0</v>
      </c>
    </row>
    <row r="65" customFormat="false" ht="15" hidden="false" customHeight="false" outlineLevel="0" collapsed="false">
      <c r="A65" s="10" t="s">
        <v>137</v>
      </c>
      <c r="B65" s="10" t="s">
        <v>76</v>
      </c>
      <c r="C65" s="10" t="s">
        <v>98</v>
      </c>
      <c r="D65" s="18" t="n">
        <v>36249</v>
      </c>
      <c r="E65" s="19" t="n">
        <v>0.05</v>
      </c>
      <c r="F65" s="10" t="n">
        <v>15</v>
      </c>
      <c r="G65" s="20" t="n">
        <v>0.345354308405709</v>
      </c>
      <c r="H65" s="10" t="n">
        <v>36</v>
      </c>
      <c r="I65" s="10" t="n">
        <v>1</v>
      </c>
    </row>
    <row r="66" customFormat="false" ht="15" hidden="false" customHeight="false" outlineLevel="0" collapsed="false">
      <c r="A66" s="10" t="s">
        <v>138</v>
      </c>
      <c r="B66" s="10" t="s">
        <v>76</v>
      </c>
      <c r="C66" s="10" t="s">
        <v>57</v>
      </c>
      <c r="D66" s="18" t="n">
        <v>43470</v>
      </c>
      <c r="E66" s="19" t="n">
        <v>0.49</v>
      </c>
      <c r="F66" s="10" t="n">
        <v>65</v>
      </c>
      <c r="G66" s="20" t="n">
        <v>0.352840766216496</v>
      </c>
      <c r="H66" s="10" t="n">
        <v>84</v>
      </c>
      <c r="I66" s="10" t="n">
        <v>0</v>
      </c>
    </row>
    <row r="67" customFormat="false" ht="15" hidden="false" customHeight="false" outlineLevel="0" collapsed="false">
      <c r="A67" s="10" t="s">
        <v>139</v>
      </c>
      <c r="B67" s="10" t="s">
        <v>53</v>
      </c>
      <c r="C67" s="10" t="s">
        <v>57</v>
      </c>
      <c r="D67" s="18" t="n">
        <v>140337</v>
      </c>
      <c r="E67" s="19" t="n">
        <v>0.319</v>
      </c>
      <c r="F67" s="10" t="n">
        <v>0</v>
      </c>
      <c r="G67" s="20" t="n">
        <v>0.107690904314307</v>
      </c>
      <c r="H67" s="10" t="n">
        <v>60</v>
      </c>
      <c r="I67" s="10" t="n">
        <v>0</v>
      </c>
    </row>
    <row r="68" customFormat="false" ht="15" hidden="false" customHeight="false" outlineLevel="0" collapsed="false">
      <c r="A68" s="10" t="s">
        <v>140</v>
      </c>
      <c r="B68" s="10" t="s">
        <v>53</v>
      </c>
      <c r="C68" s="10" t="s">
        <v>98</v>
      </c>
      <c r="D68" s="18" t="n">
        <v>32595</v>
      </c>
      <c r="E68" s="19" t="n">
        <v>0.658</v>
      </c>
      <c r="F68" s="10" t="n">
        <v>35</v>
      </c>
      <c r="G68" s="20" t="n">
        <v>0.238908385084914</v>
      </c>
      <c r="H68" s="10" t="n">
        <v>84</v>
      </c>
      <c r="I68" s="10" t="n">
        <v>1</v>
      </c>
    </row>
    <row r="69" customFormat="false" ht="15" hidden="false" customHeight="false" outlineLevel="0" collapsed="false">
      <c r="A69" s="10" t="s">
        <v>141</v>
      </c>
      <c r="B69" s="10" t="s">
        <v>76</v>
      </c>
      <c r="C69" s="10" t="s">
        <v>79</v>
      </c>
      <c r="D69" s="18" t="n">
        <v>72322</v>
      </c>
      <c r="E69" s="19" t="n">
        <v>0.331</v>
      </c>
      <c r="F69" s="10" t="n">
        <v>0</v>
      </c>
      <c r="G69" s="20" t="n">
        <v>0.222502284404636</v>
      </c>
      <c r="H69" s="10" t="n">
        <v>36</v>
      </c>
      <c r="I69" s="10" t="n">
        <v>0</v>
      </c>
    </row>
    <row r="70" customFormat="false" ht="15" hidden="false" customHeight="false" outlineLevel="0" collapsed="false">
      <c r="A70" s="10" t="s">
        <v>142</v>
      </c>
      <c r="B70" s="10" t="s">
        <v>59</v>
      </c>
      <c r="C70" s="10" t="s">
        <v>72</v>
      </c>
      <c r="D70" s="18" t="n">
        <v>38820</v>
      </c>
      <c r="E70" s="19" t="n">
        <v>0.272</v>
      </c>
      <c r="F70" s="10" t="n">
        <v>0</v>
      </c>
      <c r="G70" s="20" t="n">
        <v>0.001</v>
      </c>
      <c r="H70" s="10" t="n">
        <v>72</v>
      </c>
      <c r="I70" s="10" t="n">
        <v>0</v>
      </c>
    </row>
    <row r="71" customFormat="false" ht="15" hidden="false" customHeight="false" outlineLevel="0" collapsed="false">
      <c r="A71" s="10" t="s">
        <v>143</v>
      </c>
      <c r="B71" s="10" t="s">
        <v>62</v>
      </c>
      <c r="C71" s="10" t="s">
        <v>98</v>
      </c>
      <c r="D71" s="18" t="n">
        <v>47984</v>
      </c>
      <c r="E71" s="19" t="n">
        <v>0.734</v>
      </c>
      <c r="F71" s="10" t="n">
        <v>0</v>
      </c>
      <c r="G71" s="20" t="n">
        <v>0.0128522168241524</v>
      </c>
      <c r="H71" s="10" t="n">
        <v>72</v>
      </c>
      <c r="I71" s="10" t="n">
        <v>0</v>
      </c>
    </row>
    <row r="72" customFormat="false" ht="15" hidden="false" customHeight="false" outlineLevel="0" collapsed="false">
      <c r="A72" s="10" t="s">
        <v>144</v>
      </c>
      <c r="B72" s="10" t="s">
        <v>59</v>
      </c>
      <c r="C72" s="10" t="s">
        <v>81</v>
      </c>
      <c r="D72" s="18" t="n">
        <v>14691</v>
      </c>
      <c r="E72" s="19" t="n">
        <v>0.152</v>
      </c>
      <c r="F72" s="10" t="n">
        <v>0</v>
      </c>
      <c r="G72" s="20" t="n">
        <v>0.129975016538555</v>
      </c>
      <c r="H72" s="10" t="n">
        <v>120</v>
      </c>
      <c r="I72" s="10" t="n">
        <v>0</v>
      </c>
    </row>
    <row r="73" customFormat="false" ht="15" hidden="false" customHeight="false" outlineLevel="0" collapsed="false">
      <c r="A73" s="10" t="s">
        <v>145</v>
      </c>
      <c r="B73" s="10" t="s">
        <v>76</v>
      </c>
      <c r="C73" s="10" t="s">
        <v>100</v>
      </c>
      <c r="D73" s="18" t="n">
        <v>24895</v>
      </c>
      <c r="E73" s="19" t="n">
        <v>0.1</v>
      </c>
      <c r="F73" s="10" t="n">
        <v>0</v>
      </c>
      <c r="G73" s="20" t="n">
        <v>0.16088843958015</v>
      </c>
      <c r="H73" s="10" t="n">
        <v>60</v>
      </c>
      <c r="I73" s="10" t="n">
        <v>0</v>
      </c>
    </row>
    <row r="74" customFormat="false" ht="15" hidden="false" customHeight="false" outlineLevel="0" collapsed="false">
      <c r="A74" s="10" t="s">
        <v>146</v>
      </c>
      <c r="B74" s="10" t="s">
        <v>53</v>
      </c>
      <c r="C74" s="10" t="s">
        <v>98</v>
      </c>
      <c r="D74" s="18" t="n">
        <v>112428</v>
      </c>
      <c r="E74" s="19" t="n">
        <v>0.252</v>
      </c>
      <c r="F74" s="10" t="n">
        <v>0</v>
      </c>
      <c r="G74" s="20" t="n">
        <v>0.0057154530553973</v>
      </c>
      <c r="H74" s="10" t="n">
        <v>36</v>
      </c>
      <c r="I74" s="10" t="n">
        <v>0</v>
      </c>
    </row>
    <row r="75" customFormat="false" ht="15" hidden="false" customHeight="false" outlineLevel="0" collapsed="false">
      <c r="A75" s="10" t="s">
        <v>147</v>
      </c>
      <c r="B75" s="10" t="s">
        <v>76</v>
      </c>
      <c r="C75" s="10" t="s">
        <v>81</v>
      </c>
      <c r="D75" s="18" t="n">
        <v>67397</v>
      </c>
      <c r="E75" s="19" t="n">
        <v>0.546</v>
      </c>
      <c r="F75" s="10" t="n">
        <v>0</v>
      </c>
      <c r="G75" s="20" t="n">
        <v>0.242357456518406</v>
      </c>
      <c r="H75" s="10" t="n">
        <v>36</v>
      </c>
      <c r="I75" s="10" t="n">
        <v>0</v>
      </c>
    </row>
    <row r="76" customFormat="false" ht="15" hidden="false" customHeight="false" outlineLevel="0" collapsed="false">
      <c r="A76" s="10" t="s">
        <v>148</v>
      </c>
      <c r="B76" s="10" t="s">
        <v>76</v>
      </c>
      <c r="C76" s="10" t="s">
        <v>54</v>
      </c>
      <c r="D76" s="18" t="n">
        <v>67536</v>
      </c>
      <c r="E76" s="19" t="n">
        <v>0.517</v>
      </c>
      <c r="F76" s="10" t="n">
        <v>0</v>
      </c>
      <c r="G76" s="20" t="n">
        <v>0.128660037082165</v>
      </c>
      <c r="H76" s="10" t="n">
        <v>48</v>
      </c>
      <c r="I76" s="10" t="n">
        <v>0</v>
      </c>
    </row>
    <row r="77" customFormat="false" ht="15" hidden="false" customHeight="false" outlineLevel="0" collapsed="false">
      <c r="A77" s="10" t="s">
        <v>149</v>
      </c>
      <c r="B77" s="10" t="s">
        <v>62</v>
      </c>
      <c r="C77" s="10" t="s">
        <v>72</v>
      </c>
      <c r="D77" s="18" t="n">
        <v>26849</v>
      </c>
      <c r="E77" s="19" t="n">
        <v>0.141</v>
      </c>
      <c r="F77" s="10" t="n">
        <v>0</v>
      </c>
      <c r="G77" s="20" t="n">
        <v>0.149341796241253</v>
      </c>
      <c r="H77" s="10" t="n">
        <v>72</v>
      </c>
      <c r="I77" s="10" t="n">
        <v>1</v>
      </c>
    </row>
    <row r="78" customFormat="false" ht="15" hidden="false" customHeight="false" outlineLevel="0" collapsed="false">
      <c r="A78" s="10" t="s">
        <v>150</v>
      </c>
      <c r="B78" s="10" t="s">
        <v>67</v>
      </c>
      <c r="C78" s="10" t="s">
        <v>74</v>
      </c>
      <c r="D78" s="18" t="n">
        <v>249970</v>
      </c>
      <c r="E78" s="19" t="n">
        <v>0.087</v>
      </c>
      <c r="F78" s="10" t="n">
        <v>35</v>
      </c>
      <c r="G78" s="20" t="n">
        <v>0.193875515477195</v>
      </c>
      <c r="H78" s="10" t="n">
        <v>36</v>
      </c>
      <c r="I78" s="10" t="n">
        <v>0</v>
      </c>
    </row>
    <row r="79" customFormat="false" ht="15" hidden="false" customHeight="false" outlineLevel="0" collapsed="false">
      <c r="A79" s="10" t="s">
        <v>151</v>
      </c>
      <c r="B79" s="10" t="s">
        <v>69</v>
      </c>
      <c r="C79" s="10" t="s">
        <v>74</v>
      </c>
      <c r="D79" s="18" t="n">
        <v>59063</v>
      </c>
      <c r="E79" s="19" t="n">
        <v>0.05</v>
      </c>
      <c r="F79" s="10" t="n">
        <v>0</v>
      </c>
      <c r="G79" s="20" t="n">
        <v>0.0940306573097464</v>
      </c>
      <c r="H79" s="10" t="n">
        <v>60</v>
      </c>
      <c r="I79" s="10" t="n">
        <v>0</v>
      </c>
    </row>
    <row r="80" customFormat="false" ht="15" hidden="false" customHeight="false" outlineLevel="0" collapsed="false">
      <c r="A80" s="10" t="s">
        <v>152</v>
      </c>
      <c r="B80" s="10" t="s">
        <v>83</v>
      </c>
      <c r="C80" s="10" t="s">
        <v>72</v>
      </c>
      <c r="D80" s="18" t="n">
        <v>244263</v>
      </c>
      <c r="E80" s="19" t="n">
        <v>0.246</v>
      </c>
      <c r="F80" s="10" t="n">
        <v>0</v>
      </c>
      <c r="G80" s="20" t="n">
        <v>0.188144068697122</v>
      </c>
      <c r="H80" s="10" t="n">
        <v>36</v>
      </c>
      <c r="I80" s="10" t="n">
        <v>0</v>
      </c>
    </row>
    <row r="81" customFormat="false" ht="15" hidden="false" customHeight="false" outlineLevel="0" collapsed="false">
      <c r="A81" s="10" t="s">
        <v>153</v>
      </c>
      <c r="B81" s="10" t="s">
        <v>56</v>
      </c>
      <c r="C81" s="10" t="s">
        <v>54</v>
      </c>
      <c r="D81" s="18" t="n">
        <v>36060</v>
      </c>
      <c r="E81" s="19" t="n">
        <v>0.171</v>
      </c>
      <c r="F81" s="10" t="n">
        <v>0</v>
      </c>
      <c r="G81" s="20" t="n">
        <v>0.191196310138437</v>
      </c>
      <c r="H81" s="10" t="n">
        <v>36</v>
      </c>
      <c r="I81" s="10" t="n">
        <v>1</v>
      </c>
    </row>
    <row r="82" customFormat="false" ht="15" hidden="false" customHeight="false" outlineLevel="0" collapsed="false">
      <c r="A82" s="10" t="s">
        <v>154</v>
      </c>
      <c r="B82" s="10" t="s">
        <v>76</v>
      </c>
      <c r="C82" s="10" t="s">
        <v>100</v>
      </c>
      <c r="D82" s="18" t="n">
        <v>77172</v>
      </c>
      <c r="E82" s="19" t="n">
        <v>0.766</v>
      </c>
      <c r="F82" s="10" t="n">
        <v>0</v>
      </c>
      <c r="G82" s="20" t="n">
        <v>0.225552911506248</v>
      </c>
      <c r="H82" s="10" t="n">
        <v>36</v>
      </c>
      <c r="I82" s="10" t="n">
        <v>0</v>
      </c>
    </row>
    <row r="83" customFormat="false" ht="15" hidden="false" customHeight="false" outlineLevel="0" collapsed="false">
      <c r="A83" s="10" t="s">
        <v>155</v>
      </c>
      <c r="B83" s="10" t="s">
        <v>53</v>
      </c>
      <c r="C83" s="10" t="s">
        <v>60</v>
      </c>
      <c r="D83" s="18" t="n">
        <v>87043</v>
      </c>
      <c r="E83" s="19" t="n">
        <v>0.563</v>
      </c>
      <c r="F83" s="10" t="n">
        <v>95</v>
      </c>
      <c r="G83" s="20" t="n">
        <v>0.425151557542281</v>
      </c>
      <c r="H83" s="10" t="n">
        <v>24</v>
      </c>
      <c r="I83" s="10" t="n">
        <v>0</v>
      </c>
    </row>
    <row r="84" customFormat="false" ht="15" hidden="false" customHeight="false" outlineLevel="0" collapsed="false">
      <c r="A84" s="10" t="s">
        <v>156</v>
      </c>
      <c r="B84" s="10" t="s">
        <v>62</v>
      </c>
      <c r="C84" s="10" t="s">
        <v>74</v>
      </c>
      <c r="D84" s="18" t="n">
        <v>361471</v>
      </c>
      <c r="E84" s="19" t="n">
        <v>0.244</v>
      </c>
      <c r="F84" s="10" t="n">
        <v>0</v>
      </c>
      <c r="G84" s="20" t="n">
        <v>0.167838607380702</v>
      </c>
      <c r="H84" s="10" t="n">
        <v>72</v>
      </c>
      <c r="I84" s="10" t="n">
        <v>0</v>
      </c>
    </row>
    <row r="85" customFormat="false" ht="15" hidden="false" customHeight="false" outlineLevel="0" collapsed="false">
      <c r="A85" s="10" t="s">
        <v>157</v>
      </c>
      <c r="B85" s="10" t="s">
        <v>59</v>
      </c>
      <c r="C85" s="10" t="s">
        <v>89</v>
      </c>
      <c r="D85" s="18" t="n">
        <v>90083</v>
      </c>
      <c r="E85" s="19" t="n">
        <v>0.46</v>
      </c>
      <c r="F85" s="10" t="n">
        <v>0</v>
      </c>
      <c r="G85" s="20" t="n">
        <v>0.186696760153867</v>
      </c>
      <c r="H85" s="10" t="n">
        <v>36</v>
      </c>
      <c r="I85" s="10" t="n">
        <v>0</v>
      </c>
    </row>
    <row r="86" customFormat="false" ht="15" hidden="false" customHeight="false" outlineLevel="0" collapsed="false">
      <c r="A86" s="10" t="s">
        <v>158</v>
      </c>
      <c r="B86" s="10" t="s">
        <v>88</v>
      </c>
      <c r="C86" s="10" t="s">
        <v>54</v>
      </c>
      <c r="D86" s="18" t="n">
        <v>150849</v>
      </c>
      <c r="E86" s="19" t="n">
        <v>0.231</v>
      </c>
      <c r="F86" s="10" t="n">
        <v>65</v>
      </c>
      <c r="G86" s="20" t="n">
        <v>0.172275009878802</v>
      </c>
      <c r="H86" s="10" t="n">
        <v>36</v>
      </c>
      <c r="I86" s="10" t="n">
        <v>1</v>
      </c>
    </row>
    <row r="87" customFormat="false" ht="15" hidden="false" customHeight="false" outlineLevel="0" collapsed="false">
      <c r="A87" s="10" t="s">
        <v>159</v>
      </c>
      <c r="B87" s="10" t="s">
        <v>53</v>
      </c>
      <c r="C87" s="10" t="s">
        <v>79</v>
      </c>
      <c r="D87" s="18" t="n">
        <v>137696</v>
      </c>
      <c r="E87" s="19" t="n">
        <v>0.357</v>
      </c>
      <c r="F87" s="10" t="n">
        <v>0</v>
      </c>
      <c r="G87" s="20" t="n">
        <v>0.167357051188449</v>
      </c>
      <c r="H87" s="10" t="n">
        <v>24</v>
      </c>
      <c r="I87" s="10" t="n">
        <v>0</v>
      </c>
    </row>
    <row r="88" customFormat="false" ht="15" hidden="false" customHeight="false" outlineLevel="0" collapsed="false">
      <c r="A88" s="10" t="s">
        <v>160</v>
      </c>
      <c r="B88" s="10" t="s">
        <v>76</v>
      </c>
      <c r="C88" s="10" t="s">
        <v>54</v>
      </c>
      <c r="D88" s="18" t="n">
        <v>38320</v>
      </c>
      <c r="E88" s="19" t="n">
        <v>0.931</v>
      </c>
      <c r="F88" s="10" t="n">
        <v>0</v>
      </c>
      <c r="G88" s="20" t="n">
        <v>0.674001456943553</v>
      </c>
      <c r="H88" s="10" t="n">
        <v>72</v>
      </c>
      <c r="I88" s="10" t="n">
        <v>0</v>
      </c>
    </row>
    <row r="89" customFormat="false" ht="15" hidden="false" customHeight="false" outlineLevel="0" collapsed="false">
      <c r="A89" s="10" t="s">
        <v>161</v>
      </c>
      <c r="B89" s="10" t="s">
        <v>64</v>
      </c>
      <c r="C89" s="10" t="s">
        <v>74</v>
      </c>
      <c r="D89" s="18" t="n">
        <v>28456</v>
      </c>
      <c r="E89" s="19" t="n">
        <v>0.294</v>
      </c>
      <c r="F89" s="10" t="n">
        <v>0</v>
      </c>
      <c r="G89" s="20" t="n">
        <v>0.207474060285905</v>
      </c>
      <c r="H89" s="10" t="n">
        <v>60</v>
      </c>
      <c r="I89" s="10" t="n">
        <v>0</v>
      </c>
    </row>
    <row r="90" customFormat="false" ht="15" hidden="false" customHeight="false" outlineLevel="0" collapsed="false">
      <c r="A90" s="10" t="s">
        <v>162</v>
      </c>
      <c r="B90" s="10" t="s">
        <v>69</v>
      </c>
      <c r="C90" s="10" t="s">
        <v>54</v>
      </c>
      <c r="D90" s="18" t="n">
        <v>168691</v>
      </c>
      <c r="E90" s="19" t="n">
        <v>0.48</v>
      </c>
      <c r="F90" s="10" t="n">
        <v>0</v>
      </c>
      <c r="G90" s="20" t="n">
        <v>0.125819327933789</v>
      </c>
      <c r="H90" s="10" t="n">
        <v>36</v>
      </c>
      <c r="I90" s="10" t="n">
        <v>0</v>
      </c>
    </row>
    <row r="91" customFormat="false" ht="15" hidden="false" customHeight="false" outlineLevel="0" collapsed="false">
      <c r="A91" s="10" t="s">
        <v>163</v>
      </c>
      <c r="B91" s="10" t="s">
        <v>64</v>
      </c>
      <c r="C91" s="10" t="s">
        <v>100</v>
      </c>
      <c r="D91" s="18" t="n">
        <v>238691</v>
      </c>
      <c r="E91" s="19" t="n">
        <v>0.138</v>
      </c>
      <c r="F91" s="10" t="n">
        <v>0</v>
      </c>
      <c r="G91" s="20" t="n">
        <v>0.264977175473152</v>
      </c>
      <c r="H91" s="10" t="n">
        <v>36</v>
      </c>
      <c r="I91" s="10" t="n">
        <v>1</v>
      </c>
    </row>
    <row r="92" customFormat="false" ht="15" hidden="false" customHeight="false" outlineLevel="0" collapsed="false">
      <c r="A92" s="10" t="s">
        <v>164</v>
      </c>
      <c r="B92" s="10" t="s">
        <v>53</v>
      </c>
      <c r="C92" s="10" t="s">
        <v>54</v>
      </c>
      <c r="D92" s="18" t="n">
        <v>17509</v>
      </c>
      <c r="E92" s="19" t="n">
        <v>0.643</v>
      </c>
      <c r="F92" s="10" t="n">
        <v>0</v>
      </c>
      <c r="G92" s="20" t="n">
        <v>0.140399978058974</v>
      </c>
      <c r="H92" s="10" t="n">
        <v>36</v>
      </c>
      <c r="I92" s="10" t="n">
        <v>0</v>
      </c>
    </row>
    <row r="93" customFormat="false" ht="15" hidden="false" customHeight="false" outlineLevel="0" collapsed="false">
      <c r="A93" s="10" t="s">
        <v>165</v>
      </c>
      <c r="B93" s="10" t="s">
        <v>59</v>
      </c>
      <c r="C93" s="10" t="s">
        <v>74</v>
      </c>
      <c r="D93" s="18" t="n">
        <v>41619</v>
      </c>
      <c r="E93" s="19" t="n">
        <v>0.246</v>
      </c>
      <c r="F93" s="10" t="n">
        <v>0</v>
      </c>
      <c r="G93" s="20" t="n">
        <v>0.149697865302221</v>
      </c>
      <c r="H93" s="10" t="n">
        <v>84</v>
      </c>
      <c r="I93" s="10" t="n">
        <v>0</v>
      </c>
    </row>
    <row r="94" customFormat="false" ht="15" hidden="false" customHeight="false" outlineLevel="0" collapsed="false">
      <c r="A94" s="10" t="s">
        <v>166</v>
      </c>
      <c r="B94" s="10" t="s">
        <v>53</v>
      </c>
      <c r="C94" s="10" t="s">
        <v>77</v>
      </c>
      <c r="D94" s="18" t="n">
        <v>61596</v>
      </c>
      <c r="E94" s="19" t="n">
        <v>0.639</v>
      </c>
      <c r="F94" s="10" t="n">
        <v>0</v>
      </c>
      <c r="G94" s="20" t="n">
        <v>0.0031104767543386</v>
      </c>
      <c r="H94" s="10" t="n">
        <v>48</v>
      </c>
      <c r="I94" s="10" t="n">
        <v>0</v>
      </c>
    </row>
    <row r="95" customFormat="false" ht="15" hidden="false" customHeight="false" outlineLevel="0" collapsed="false">
      <c r="A95" s="10" t="s">
        <v>167</v>
      </c>
      <c r="B95" s="10" t="s">
        <v>69</v>
      </c>
      <c r="C95" s="10" t="s">
        <v>54</v>
      </c>
      <c r="D95" s="18" t="n">
        <v>68358</v>
      </c>
      <c r="E95" s="19" t="n">
        <v>0.358</v>
      </c>
      <c r="F95" s="10" t="n">
        <v>0</v>
      </c>
      <c r="G95" s="20" t="n">
        <v>0.181901974914163</v>
      </c>
      <c r="H95" s="10" t="n">
        <v>120</v>
      </c>
      <c r="I95" s="10" t="n">
        <v>1</v>
      </c>
    </row>
    <row r="96" customFormat="false" ht="15" hidden="false" customHeight="false" outlineLevel="0" collapsed="false">
      <c r="A96" s="10" t="s">
        <v>168</v>
      </c>
      <c r="B96" s="10" t="s">
        <v>59</v>
      </c>
      <c r="C96" s="10" t="s">
        <v>74</v>
      </c>
      <c r="D96" s="18" t="n">
        <v>69306</v>
      </c>
      <c r="E96" s="19" t="n">
        <v>0.377</v>
      </c>
      <c r="F96" s="10" t="n">
        <v>0</v>
      </c>
      <c r="G96" s="20" t="n">
        <v>0.0708150017836525</v>
      </c>
      <c r="H96" s="10" t="n">
        <v>24</v>
      </c>
      <c r="I96" s="10" t="n">
        <v>0</v>
      </c>
    </row>
    <row r="97" customFormat="false" ht="15" hidden="false" customHeight="false" outlineLevel="0" collapsed="false">
      <c r="A97" s="10" t="s">
        <v>169</v>
      </c>
      <c r="B97" s="10" t="s">
        <v>64</v>
      </c>
      <c r="C97" s="10" t="s">
        <v>100</v>
      </c>
      <c r="D97" s="18" t="n">
        <v>28013</v>
      </c>
      <c r="E97" s="19" t="n">
        <v>0.556</v>
      </c>
      <c r="F97" s="10" t="n">
        <v>0</v>
      </c>
      <c r="G97" s="20" t="n">
        <v>0.0774627649744103</v>
      </c>
      <c r="H97" s="10" t="n">
        <v>60</v>
      </c>
      <c r="I97" s="10" t="n">
        <v>0</v>
      </c>
    </row>
    <row r="98" customFormat="false" ht="15" hidden="false" customHeight="false" outlineLevel="0" collapsed="false">
      <c r="A98" s="10" t="s">
        <v>170</v>
      </c>
      <c r="B98" s="10" t="s">
        <v>56</v>
      </c>
      <c r="C98" s="10" t="s">
        <v>60</v>
      </c>
      <c r="D98" s="18" t="n">
        <v>143658</v>
      </c>
      <c r="E98" s="19" t="n">
        <v>0.516</v>
      </c>
      <c r="F98" s="10" t="n">
        <v>15</v>
      </c>
      <c r="G98" s="20" t="n">
        <v>0.56550613921662</v>
      </c>
      <c r="H98" s="10" t="n">
        <v>36</v>
      </c>
      <c r="I98" s="10" t="n">
        <v>1</v>
      </c>
    </row>
    <row r="99" customFormat="false" ht="15" hidden="false" customHeight="false" outlineLevel="0" collapsed="false">
      <c r="A99" s="10" t="s">
        <v>171</v>
      </c>
      <c r="B99" s="10" t="s">
        <v>69</v>
      </c>
      <c r="C99" s="10" t="s">
        <v>74</v>
      </c>
      <c r="D99" s="18" t="n">
        <v>111708</v>
      </c>
      <c r="E99" s="19" t="n">
        <v>0.1</v>
      </c>
      <c r="F99" s="10" t="n">
        <v>0</v>
      </c>
      <c r="G99" s="20" t="n">
        <v>0.183722526943237</v>
      </c>
      <c r="H99" s="10" t="n">
        <v>48</v>
      </c>
      <c r="I99" s="10" t="n">
        <v>0</v>
      </c>
    </row>
    <row r="100" customFormat="false" ht="15" hidden="false" customHeight="false" outlineLevel="0" collapsed="false">
      <c r="A100" s="10" t="s">
        <v>172</v>
      </c>
      <c r="B100" s="10" t="s">
        <v>67</v>
      </c>
      <c r="C100" s="10" t="s">
        <v>74</v>
      </c>
      <c r="D100" s="18" t="n">
        <v>70184</v>
      </c>
      <c r="E100" s="19" t="n">
        <v>0.311</v>
      </c>
      <c r="F100" s="10" t="n">
        <v>0</v>
      </c>
      <c r="G100" s="20" t="n">
        <v>0.171445207503285</v>
      </c>
      <c r="H100" s="10" t="n">
        <v>48</v>
      </c>
      <c r="I100" s="10" t="n">
        <v>0</v>
      </c>
    </row>
    <row r="101" customFormat="false" ht="15" hidden="false" customHeight="false" outlineLevel="0" collapsed="false">
      <c r="A101" s="10" t="s">
        <v>173</v>
      </c>
      <c r="B101" s="10" t="s">
        <v>67</v>
      </c>
      <c r="C101" s="10" t="s">
        <v>100</v>
      </c>
      <c r="D101" s="18" t="n">
        <v>100974</v>
      </c>
      <c r="E101" s="19" t="n">
        <v>0.346</v>
      </c>
      <c r="F101" s="10" t="n">
        <v>35</v>
      </c>
      <c r="G101" s="20" t="n">
        <v>0.21490438777974</v>
      </c>
      <c r="H101" s="10" t="n">
        <v>48</v>
      </c>
      <c r="I101" s="10" t="n">
        <v>0</v>
      </c>
    </row>
    <row r="102" customFormat="false" ht="15" hidden="false" customHeight="false" outlineLevel="0" collapsed="false">
      <c r="A102" s="10" t="s">
        <v>174</v>
      </c>
      <c r="B102" s="10" t="s">
        <v>67</v>
      </c>
      <c r="C102" s="10" t="s">
        <v>98</v>
      </c>
      <c r="D102" s="18" t="n">
        <v>39801</v>
      </c>
      <c r="E102" s="19" t="n">
        <v>0.257</v>
      </c>
      <c r="F102" s="10" t="n">
        <v>0</v>
      </c>
      <c r="G102" s="20" t="n">
        <v>0.130099897132557</v>
      </c>
      <c r="H102" s="10" t="n">
        <v>36</v>
      </c>
      <c r="I102" s="10" t="n">
        <v>0</v>
      </c>
    </row>
    <row r="103" customFormat="false" ht="15" hidden="false" customHeight="false" outlineLevel="0" collapsed="false">
      <c r="A103" s="10" t="s">
        <v>175</v>
      </c>
      <c r="B103" s="10" t="s">
        <v>59</v>
      </c>
      <c r="C103" s="10" t="s">
        <v>60</v>
      </c>
      <c r="D103" s="18" t="n">
        <v>28816</v>
      </c>
      <c r="E103" s="19" t="n">
        <v>0.729</v>
      </c>
      <c r="F103" s="10" t="n">
        <v>0</v>
      </c>
      <c r="G103" s="20" t="n">
        <v>0.035325657797243</v>
      </c>
      <c r="H103" s="10" t="n">
        <v>120</v>
      </c>
      <c r="I103" s="10" t="n">
        <v>0</v>
      </c>
    </row>
    <row r="104" customFormat="false" ht="15" hidden="false" customHeight="false" outlineLevel="0" collapsed="false">
      <c r="A104" s="10" t="s">
        <v>176</v>
      </c>
      <c r="B104" s="10" t="s">
        <v>59</v>
      </c>
      <c r="C104" s="10" t="s">
        <v>98</v>
      </c>
      <c r="D104" s="18" t="n">
        <v>229214</v>
      </c>
      <c r="E104" s="19" t="n">
        <v>0.132</v>
      </c>
      <c r="F104" s="10" t="n">
        <v>0</v>
      </c>
      <c r="G104" s="20" t="n">
        <v>0.0738656478187152</v>
      </c>
      <c r="H104" s="10" t="n">
        <v>60</v>
      </c>
      <c r="I104" s="10" t="n">
        <v>0</v>
      </c>
    </row>
    <row r="105" customFormat="false" ht="15" hidden="false" customHeight="false" outlineLevel="0" collapsed="false">
      <c r="A105" s="10" t="s">
        <v>177</v>
      </c>
      <c r="B105" s="10" t="s">
        <v>56</v>
      </c>
      <c r="C105" s="10" t="s">
        <v>54</v>
      </c>
      <c r="D105" s="18" t="n">
        <v>84467</v>
      </c>
      <c r="E105" s="19" t="n">
        <v>0.95</v>
      </c>
      <c r="F105" s="10" t="n">
        <v>0</v>
      </c>
      <c r="G105" s="20" t="n">
        <v>0.188438835632972</v>
      </c>
      <c r="H105" s="10" t="n">
        <v>60</v>
      </c>
      <c r="I105" s="10" t="n">
        <v>0</v>
      </c>
    </row>
    <row r="106" customFormat="false" ht="15" hidden="false" customHeight="false" outlineLevel="0" collapsed="false">
      <c r="A106" s="10" t="s">
        <v>178</v>
      </c>
      <c r="B106" s="10" t="s">
        <v>88</v>
      </c>
      <c r="C106" s="10" t="s">
        <v>57</v>
      </c>
      <c r="D106" s="18" t="n">
        <v>132038</v>
      </c>
      <c r="E106" s="19" t="n">
        <v>0.423</v>
      </c>
      <c r="F106" s="10" t="n">
        <v>0</v>
      </c>
      <c r="G106" s="20" t="n">
        <v>0.16953912818227</v>
      </c>
      <c r="H106" s="10" t="n">
        <v>24</v>
      </c>
      <c r="I106" s="10" t="n">
        <v>0</v>
      </c>
    </row>
    <row r="107" customFormat="false" ht="15" hidden="false" customHeight="false" outlineLevel="0" collapsed="false">
      <c r="A107" s="10" t="s">
        <v>179</v>
      </c>
      <c r="B107" s="10" t="s">
        <v>62</v>
      </c>
      <c r="C107" s="10" t="s">
        <v>72</v>
      </c>
      <c r="D107" s="18" t="n">
        <v>49331</v>
      </c>
      <c r="E107" s="19" t="n">
        <v>0.798</v>
      </c>
      <c r="F107" s="10" t="n">
        <v>0</v>
      </c>
      <c r="G107" s="20" t="n">
        <v>0.195136542576368</v>
      </c>
      <c r="H107" s="10" t="n">
        <v>48</v>
      </c>
      <c r="I107" s="10" t="n">
        <v>0</v>
      </c>
    </row>
    <row r="108" customFormat="false" ht="15" hidden="false" customHeight="false" outlineLevel="0" collapsed="false">
      <c r="A108" s="10" t="s">
        <v>180</v>
      </c>
      <c r="B108" s="10" t="s">
        <v>59</v>
      </c>
      <c r="C108" s="10" t="s">
        <v>72</v>
      </c>
      <c r="D108" s="18" t="n">
        <v>31487</v>
      </c>
      <c r="E108" s="19" t="n">
        <v>0.141</v>
      </c>
      <c r="F108" s="10" t="n">
        <v>0</v>
      </c>
      <c r="G108" s="20" t="n">
        <v>0.0360008674119951</v>
      </c>
      <c r="H108" s="10" t="n">
        <v>60</v>
      </c>
      <c r="I108" s="10" t="n">
        <v>0</v>
      </c>
    </row>
    <row r="109" customFormat="false" ht="15" hidden="false" customHeight="false" outlineLevel="0" collapsed="false">
      <c r="A109" s="10" t="s">
        <v>181</v>
      </c>
      <c r="B109" s="10" t="s">
        <v>76</v>
      </c>
      <c r="C109" s="10" t="s">
        <v>54</v>
      </c>
      <c r="D109" s="18" t="n">
        <v>440323</v>
      </c>
      <c r="E109" s="19" t="n">
        <v>0.15</v>
      </c>
      <c r="F109" s="10" t="n">
        <v>0</v>
      </c>
      <c r="G109" s="20" t="n">
        <v>0.169265946138467</v>
      </c>
      <c r="H109" s="10" t="n">
        <v>60</v>
      </c>
      <c r="I109" s="10" t="n">
        <v>0</v>
      </c>
    </row>
    <row r="110" customFormat="false" ht="15" hidden="false" customHeight="false" outlineLevel="0" collapsed="false">
      <c r="A110" s="10" t="s">
        <v>182</v>
      </c>
      <c r="B110" s="10" t="s">
        <v>59</v>
      </c>
      <c r="C110" s="10" t="s">
        <v>54</v>
      </c>
      <c r="D110" s="18" t="n">
        <v>63755</v>
      </c>
      <c r="E110" s="19" t="n">
        <v>0.438</v>
      </c>
      <c r="F110" s="10" t="n">
        <v>0</v>
      </c>
      <c r="G110" s="20" t="n">
        <v>0.230779198790414</v>
      </c>
      <c r="H110" s="10" t="n">
        <v>60</v>
      </c>
      <c r="I110" s="10" t="n">
        <v>1</v>
      </c>
    </row>
    <row r="111" customFormat="false" ht="15" hidden="false" customHeight="false" outlineLevel="0" collapsed="false">
      <c r="A111" s="10" t="s">
        <v>183</v>
      </c>
      <c r="B111" s="10" t="s">
        <v>56</v>
      </c>
      <c r="C111" s="10" t="s">
        <v>54</v>
      </c>
      <c r="D111" s="18" t="n">
        <v>48077</v>
      </c>
      <c r="E111" s="19" t="n">
        <v>0.464</v>
      </c>
      <c r="F111" s="10" t="n">
        <v>0</v>
      </c>
      <c r="G111" s="20" t="n">
        <v>0.177706414194035</v>
      </c>
      <c r="H111" s="10" t="n">
        <v>60</v>
      </c>
      <c r="I111" s="10" t="n">
        <v>0</v>
      </c>
    </row>
    <row r="112" customFormat="false" ht="15" hidden="false" customHeight="false" outlineLevel="0" collapsed="false">
      <c r="A112" s="10" t="s">
        <v>184</v>
      </c>
      <c r="B112" s="10" t="s">
        <v>67</v>
      </c>
      <c r="C112" s="10" t="s">
        <v>100</v>
      </c>
      <c r="D112" s="18" t="n">
        <v>76383</v>
      </c>
      <c r="E112" s="19" t="n">
        <v>0.932</v>
      </c>
      <c r="F112" s="10" t="n">
        <v>0</v>
      </c>
      <c r="G112" s="20" t="n">
        <v>0.0066200738505861</v>
      </c>
      <c r="H112" s="10" t="n">
        <v>48</v>
      </c>
      <c r="I112" s="10" t="n">
        <v>0</v>
      </c>
    </row>
    <row r="113" customFormat="false" ht="15" hidden="false" customHeight="false" outlineLevel="0" collapsed="false">
      <c r="A113" s="10" t="s">
        <v>185</v>
      </c>
      <c r="B113" s="10" t="s">
        <v>59</v>
      </c>
      <c r="C113" s="10" t="s">
        <v>54</v>
      </c>
      <c r="D113" s="18" t="n">
        <v>73397</v>
      </c>
      <c r="E113" s="19" t="n">
        <v>0.95</v>
      </c>
      <c r="F113" s="10" t="n">
        <v>0</v>
      </c>
      <c r="G113" s="20" t="n">
        <v>0.228756743055136</v>
      </c>
      <c r="H113" s="10" t="n">
        <v>36</v>
      </c>
      <c r="I113" s="10" t="n">
        <v>0</v>
      </c>
    </row>
    <row r="114" customFormat="false" ht="15" hidden="false" customHeight="false" outlineLevel="0" collapsed="false">
      <c r="A114" s="10" t="s">
        <v>186</v>
      </c>
      <c r="B114" s="10" t="s">
        <v>83</v>
      </c>
      <c r="C114" s="10" t="s">
        <v>89</v>
      </c>
      <c r="D114" s="18" t="n">
        <v>274974</v>
      </c>
      <c r="E114" s="19" t="n">
        <v>0.856</v>
      </c>
      <c r="F114" s="10" t="n">
        <v>5</v>
      </c>
      <c r="G114" s="20" t="n">
        <v>0.104505303187345</v>
      </c>
      <c r="H114" s="10" t="n">
        <v>72</v>
      </c>
      <c r="I114" s="10" t="n">
        <v>0</v>
      </c>
    </row>
    <row r="115" customFormat="false" ht="15" hidden="false" customHeight="false" outlineLevel="0" collapsed="false">
      <c r="A115" s="10" t="s">
        <v>187</v>
      </c>
      <c r="B115" s="10" t="s">
        <v>67</v>
      </c>
      <c r="C115" s="10" t="s">
        <v>74</v>
      </c>
      <c r="D115" s="18" t="n">
        <v>89439</v>
      </c>
      <c r="E115" s="19" t="n">
        <v>0.57</v>
      </c>
      <c r="F115" s="10" t="n">
        <v>15</v>
      </c>
      <c r="G115" s="20" t="n">
        <v>0.251728316326518</v>
      </c>
      <c r="H115" s="10" t="n">
        <v>72</v>
      </c>
      <c r="I115" s="10" t="n">
        <v>1</v>
      </c>
    </row>
    <row r="116" customFormat="false" ht="15" hidden="false" customHeight="false" outlineLevel="0" collapsed="false">
      <c r="A116" s="10" t="s">
        <v>188</v>
      </c>
      <c r="B116" s="10" t="s">
        <v>59</v>
      </c>
      <c r="C116" s="10" t="s">
        <v>74</v>
      </c>
      <c r="D116" s="18" t="n">
        <v>43305</v>
      </c>
      <c r="E116" s="19" t="n">
        <v>0.216</v>
      </c>
      <c r="F116" s="10" t="n">
        <v>0</v>
      </c>
      <c r="G116" s="20" t="n">
        <v>0.137492295491502</v>
      </c>
      <c r="H116" s="10" t="n">
        <v>36</v>
      </c>
      <c r="I116" s="10" t="n">
        <v>0</v>
      </c>
    </row>
    <row r="117" customFormat="false" ht="15" hidden="false" customHeight="false" outlineLevel="0" collapsed="false">
      <c r="A117" s="10" t="s">
        <v>189</v>
      </c>
      <c r="B117" s="10" t="s">
        <v>59</v>
      </c>
      <c r="C117" s="10" t="s">
        <v>57</v>
      </c>
      <c r="D117" s="18" t="n">
        <v>36471</v>
      </c>
      <c r="E117" s="19" t="n">
        <v>0.773</v>
      </c>
      <c r="F117" s="10" t="n">
        <v>0</v>
      </c>
      <c r="G117" s="20" t="n">
        <v>0.290121124104904</v>
      </c>
      <c r="H117" s="10" t="n">
        <v>24</v>
      </c>
      <c r="I117" s="10" t="n">
        <v>1</v>
      </c>
    </row>
    <row r="118" customFormat="false" ht="15" hidden="false" customHeight="false" outlineLevel="0" collapsed="false">
      <c r="A118" s="10" t="s">
        <v>190</v>
      </c>
      <c r="B118" s="10" t="s">
        <v>83</v>
      </c>
      <c r="C118" s="10" t="s">
        <v>77</v>
      </c>
      <c r="D118" s="18" t="n">
        <v>126861</v>
      </c>
      <c r="E118" s="19" t="n">
        <v>0.697</v>
      </c>
      <c r="F118" s="10" t="n">
        <v>5</v>
      </c>
      <c r="G118" s="20" t="n">
        <v>0.103274313643417</v>
      </c>
      <c r="H118" s="10" t="n">
        <v>36</v>
      </c>
      <c r="I118" s="10" t="n">
        <v>0</v>
      </c>
    </row>
    <row r="119" customFormat="false" ht="15" hidden="false" customHeight="false" outlineLevel="0" collapsed="false">
      <c r="A119" s="10" t="s">
        <v>191</v>
      </c>
      <c r="B119" s="10" t="s">
        <v>53</v>
      </c>
      <c r="C119" s="10" t="s">
        <v>79</v>
      </c>
      <c r="D119" s="18" t="n">
        <v>48875</v>
      </c>
      <c r="E119" s="19" t="n">
        <v>0.794</v>
      </c>
      <c r="F119" s="10" t="n">
        <v>0</v>
      </c>
      <c r="G119" s="20" t="n">
        <v>0.197563982924195</v>
      </c>
      <c r="H119" s="10" t="n">
        <v>60</v>
      </c>
      <c r="I119" s="10" t="n">
        <v>0</v>
      </c>
    </row>
    <row r="120" customFormat="false" ht="15" hidden="false" customHeight="false" outlineLevel="0" collapsed="false">
      <c r="A120" s="10" t="s">
        <v>192</v>
      </c>
      <c r="B120" s="10" t="s">
        <v>64</v>
      </c>
      <c r="C120" s="10" t="s">
        <v>54</v>
      </c>
      <c r="D120" s="18" t="n">
        <v>225925</v>
      </c>
      <c r="E120" s="19" t="n">
        <v>0.673</v>
      </c>
      <c r="F120" s="10" t="n">
        <v>5</v>
      </c>
      <c r="G120" s="20" t="n">
        <v>0.320637251686752</v>
      </c>
      <c r="H120" s="10" t="n">
        <v>36</v>
      </c>
      <c r="I120" s="10" t="n">
        <v>0</v>
      </c>
    </row>
    <row r="121" customFormat="false" ht="15" hidden="false" customHeight="false" outlineLevel="0" collapsed="false">
      <c r="A121" s="10" t="s">
        <v>193</v>
      </c>
      <c r="B121" s="10" t="s">
        <v>62</v>
      </c>
      <c r="C121" s="10" t="s">
        <v>60</v>
      </c>
      <c r="D121" s="18" t="n">
        <v>69529</v>
      </c>
      <c r="E121" s="19" t="n">
        <v>0.13</v>
      </c>
      <c r="F121" s="10" t="n">
        <v>0</v>
      </c>
      <c r="G121" s="20" t="n">
        <v>0.103188539637031</v>
      </c>
      <c r="H121" s="10" t="n">
        <v>60</v>
      </c>
      <c r="I121" s="10" t="n">
        <v>0</v>
      </c>
    </row>
    <row r="122" customFormat="false" ht="15" hidden="false" customHeight="false" outlineLevel="0" collapsed="false">
      <c r="A122" s="10" t="s">
        <v>194</v>
      </c>
      <c r="B122" s="10" t="s">
        <v>59</v>
      </c>
      <c r="C122" s="10" t="s">
        <v>72</v>
      </c>
      <c r="D122" s="18" t="n">
        <v>660346</v>
      </c>
      <c r="E122" s="19" t="n">
        <v>0.537</v>
      </c>
      <c r="F122" s="10" t="n">
        <v>0</v>
      </c>
      <c r="G122" s="20" t="n">
        <v>0.183359663911477</v>
      </c>
      <c r="H122" s="10" t="n">
        <v>60</v>
      </c>
      <c r="I122" s="10" t="n">
        <v>0</v>
      </c>
    </row>
    <row r="123" customFormat="false" ht="15" hidden="false" customHeight="false" outlineLevel="0" collapsed="false">
      <c r="A123" s="10" t="s">
        <v>195</v>
      </c>
      <c r="B123" s="10" t="s">
        <v>83</v>
      </c>
      <c r="C123" s="10" t="s">
        <v>74</v>
      </c>
      <c r="D123" s="18" t="n">
        <v>44922</v>
      </c>
      <c r="E123" s="19" t="n">
        <v>0.334</v>
      </c>
      <c r="F123" s="10" t="n">
        <v>0</v>
      </c>
      <c r="G123" s="20" t="n">
        <v>0.0953289128796513</v>
      </c>
      <c r="H123" s="10" t="n">
        <v>12</v>
      </c>
      <c r="I123" s="10" t="n">
        <v>0</v>
      </c>
    </row>
    <row r="124" customFormat="false" ht="15" hidden="false" customHeight="false" outlineLevel="0" collapsed="false">
      <c r="A124" s="10" t="s">
        <v>196</v>
      </c>
      <c r="B124" s="10" t="s">
        <v>69</v>
      </c>
      <c r="C124" s="10" t="s">
        <v>79</v>
      </c>
      <c r="D124" s="18" t="n">
        <v>58540</v>
      </c>
      <c r="E124" s="19" t="n">
        <v>0.814</v>
      </c>
      <c r="F124" s="10" t="n">
        <v>0</v>
      </c>
      <c r="G124" s="20" t="n">
        <v>0.0897734534489235</v>
      </c>
      <c r="H124" s="10" t="n">
        <v>48</v>
      </c>
      <c r="I124" s="10" t="n">
        <v>0</v>
      </c>
    </row>
    <row r="125" customFormat="false" ht="15" hidden="false" customHeight="false" outlineLevel="0" collapsed="false">
      <c r="A125" s="10" t="s">
        <v>197</v>
      </c>
      <c r="B125" s="10" t="s">
        <v>62</v>
      </c>
      <c r="C125" s="10" t="s">
        <v>54</v>
      </c>
      <c r="D125" s="18" t="n">
        <v>230524</v>
      </c>
      <c r="E125" s="19" t="n">
        <v>0.559</v>
      </c>
      <c r="F125" s="10" t="n">
        <v>0</v>
      </c>
      <c r="G125" s="20" t="n">
        <v>0.22528785631497</v>
      </c>
      <c r="H125" s="10" t="n">
        <v>36</v>
      </c>
      <c r="I125" s="10" t="n">
        <v>0</v>
      </c>
    </row>
    <row r="126" customFormat="false" ht="15" hidden="false" customHeight="false" outlineLevel="0" collapsed="false">
      <c r="A126" s="10" t="s">
        <v>198</v>
      </c>
      <c r="B126" s="10" t="s">
        <v>53</v>
      </c>
      <c r="C126" s="10" t="s">
        <v>74</v>
      </c>
      <c r="D126" s="18" t="n">
        <v>90838</v>
      </c>
      <c r="E126" s="19" t="n">
        <v>0.636</v>
      </c>
      <c r="F126" s="10" t="n">
        <v>0</v>
      </c>
      <c r="G126" s="20" t="n">
        <v>0.278008295066074</v>
      </c>
      <c r="H126" s="10" t="n">
        <v>48</v>
      </c>
      <c r="I126" s="10" t="n">
        <v>1</v>
      </c>
    </row>
    <row r="127" customFormat="false" ht="15" hidden="false" customHeight="false" outlineLevel="0" collapsed="false">
      <c r="A127" s="10" t="s">
        <v>199</v>
      </c>
      <c r="B127" s="10" t="s">
        <v>69</v>
      </c>
      <c r="C127" s="10" t="s">
        <v>54</v>
      </c>
      <c r="D127" s="18" t="n">
        <v>189161</v>
      </c>
      <c r="E127" s="19" t="n">
        <v>0.773</v>
      </c>
      <c r="F127" s="10" t="n">
        <v>0</v>
      </c>
      <c r="G127" s="20" t="n">
        <v>0.20184873147837</v>
      </c>
      <c r="H127" s="10" t="n">
        <v>36</v>
      </c>
      <c r="I127" s="10" t="n">
        <v>0</v>
      </c>
    </row>
    <row r="128" customFormat="false" ht="15" hidden="false" customHeight="false" outlineLevel="0" collapsed="false">
      <c r="A128" s="10" t="s">
        <v>200</v>
      </c>
      <c r="B128" s="10" t="s">
        <v>88</v>
      </c>
      <c r="C128" s="10" t="s">
        <v>70</v>
      </c>
      <c r="D128" s="18" t="n">
        <v>178710</v>
      </c>
      <c r="E128" s="19" t="n">
        <v>0.706</v>
      </c>
      <c r="F128" s="10" t="n">
        <v>0</v>
      </c>
      <c r="G128" s="20" t="n">
        <v>0.260627755347685</v>
      </c>
      <c r="H128" s="10" t="n">
        <v>36</v>
      </c>
      <c r="I128" s="10" t="n">
        <v>0</v>
      </c>
    </row>
    <row r="129" customFormat="false" ht="15" hidden="false" customHeight="false" outlineLevel="0" collapsed="false">
      <c r="A129" s="10" t="s">
        <v>201</v>
      </c>
      <c r="B129" s="10" t="s">
        <v>56</v>
      </c>
      <c r="C129" s="10" t="s">
        <v>74</v>
      </c>
      <c r="D129" s="18" t="n">
        <v>16598</v>
      </c>
      <c r="E129" s="19" t="n">
        <v>0.319</v>
      </c>
      <c r="F129" s="10" t="n">
        <v>0</v>
      </c>
      <c r="G129" s="20" t="n">
        <v>0.059351114563433</v>
      </c>
      <c r="H129" s="10" t="n">
        <v>48</v>
      </c>
      <c r="I129" s="10" t="n">
        <v>0</v>
      </c>
    </row>
    <row r="130" customFormat="false" ht="15" hidden="false" customHeight="false" outlineLevel="0" collapsed="false">
      <c r="A130" s="10" t="s">
        <v>202</v>
      </c>
      <c r="B130" s="10" t="s">
        <v>76</v>
      </c>
      <c r="C130" s="10" t="s">
        <v>98</v>
      </c>
      <c r="D130" s="18" t="n">
        <v>78698</v>
      </c>
      <c r="E130" s="19" t="n">
        <v>0.467</v>
      </c>
      <c r="F130" s="10" t="n">
        <v>0</v>
      </c>
      <c r="G130" s="20" t="n">
        <v>0.226059820323425</v>
      </c>
      <c r="H130" s="10" t="n">
        <v>72</v>
      </c>
      <c r="I130" s="10" t="n">
        <v>1</v>
      </c>
    </row>
    <row r="131" customFormat="false" ht="15" hidden="false" customHeight="false" outlineLevel="0" collapsed="false">
      <c r="A131" s="10" t="s">
        <v>203</v>
      </c>
      <c r="B131" s="10" t="s">
        <v>64</v>
      </c>
      <c r="C131" s="10" t="s">
        <v>79</v>
      </c>
      <c r="D131" s="18" t="n">
        <v>26445</v>
      </c>
      <c r="E131" s="19" t="n">
        <v>0.749</v>
      </c>
      <c r="F131" s="10" t="n">
        <v>0</v>
      </c>
      <c r="G131" s="20" t="n">
        <v>0.165923324801062</v>
      </c>
      <c r="H131" s="10" t="n">
        <v>24</v>
      </c>
      <c r="I131" s="10" t="n">
        <v>0</v>
      </c>
    </row>
    <row r="132" customFormat="false" ht="15" hidden="false" customHeight="false" outlineLevel="0" collapsed="false">
      <c r="A132" s="10" t="s">
        <v>204</v>
      </c>
      <c r="B132" s="10" t="s">
        <v>83</v>
      </c>
      <c r="C132" s="10" t="s">
        <v>72</v>
      </c>
      <c r="D132" s="18" t="n">
        <v>40619</v>
      </c>
      <c r="E132" s="19" t="n">
        <v>0.762</v>
      </c>
      <c r="F132" s="10" t="n">
        <v>35</v>
      </c>
      <c r="G132" s="20" t="n">
        <v>0.27786627909052</v>
      </c>
      <c r="H132" s="10" t="n">
        <v>24</v>
      </c>
      <c r="I132" s="10" t="n">
        <v>1</v>
      </c>
    </row>
    <row r="133" customFormat="false" ht="15" hidden="false" customHeight="false" outlineLevel="0" collapsed="false">
      <c r="A133" s="10" t="s">
        <v>205</v>
      </c>
      <c r="B133" s="10" t="s">
        <v>59</v>
      </c>
      <c r="C133" s="10" t="s">
        <v>100</v>
      </c>
      <c r="D133" s="18" t="n">
        <v>43306</v>
      </c>
      <c r="E133" s="19" t="n">
        <v>0.563</v>
      </c>
      <c r="F133" s="10" t="n">
        <v>0</v>
      </c>
      <c r="G133" s="20" t="n">
        <v>0.001</v>
      </c>
      <c r="H133" s="10" t="n">
        <v>60</v>
      </c>
      <c r="I133" s="10" t="n">
        <v>0</v>
      </c>
    </row>
    <row r="134" customFormat="false" ht="15" hidden="false" customHeight="false" outlineLevel="0" collapsed="false">
      <c r="A134" s="10" t="s">
        <v>206</v>
      </c>
      <c r="B134" s="10" t="s">
        <v>67</v>
      </c>
      <c r="C134" s="10" t="s">
        <v>81</v>
      </c>
      <c r="D134" s="18" t="n">
        <v>55650</v>
      </c>
      <c r="E134" s="19" t="n">
        <v>0.709</v>
      </c>
      <c r="F134" s="10" t="n">
        <v>0</v>
      </c>
      <c r="G134" s="20" t="n">
        <v>0.0718144719425877</v>
      </c>
      <c r="H134" s="10" t="n">
        <v>36</v>
      </c>
      <c r="I134" s="10" t="n">
        <v>0</v>
      </c>
    </row>
    <row r="135" customFormat="false" ht="15" hidden="false" customHeight="false" outlineLevel="0" collapsed="false">
      <c r="A135" s="10" t="s">
        <v>207</v>
      </c>
      <c r="B135" s="10" t="s">
        <v>67</v>
      </c>
      <c r="C135" s="10" t="s">
        <v>89</v>
      </c>
      <c r="D135" s="18" t="n">
        <v>8303</v>
      </c>
      <c r="E135" s="19" t="n">
        <v>0.226</v>
      </c>
      <c r="F135" s="10" t="n">
        <v>65</v>
      </c>
      <c r="G135" s="20" t="n">
        <v>0.381071471797901</v>
      </c>
      <c r="H135" s="10" t="n">
        <v>60</v>
      </c>
      <c r="I135" s="10" t="n">
        <v>0</v>
      </c>
    </row>
    <row r="136" customFormat="false" ht="15" hidden="false" customHeight="false" outlineLevel="0" collapsed="false">
      <c r="A136" s="10" t="s">
        <v>208</v>
      </c>
      <c r="B136" s="10" t="s">
        <v>64</v>
      </c>
      <c r="C136" s="10" t="s">
        <v>100</v>
      </c>
      <c r="D136" s="18" t="n">
        <v>63939</v>
      </c>
      <c r="E136" s="19" t="n">
        <v>0.523</v>
      </c>
      <c r="F136" s="10" t="n">
        <v>0</v>
      </c>
      <c r="G136" s="20" t="n">
        <v>0.256715215330119</v>
      </c>
      <c r="H136" s="10" t="n">
        <v>72</v>
      </c>
      <c r="I136" s="10" t="n">
        <v>0</v>
      </c>
    </row>
    <row r="137" customFormat="false" ht="15" hidden="false" customHeight="false" outlineLevel="0" collapsed="false">
      <c r="A137" s="10" t="s">
        <v>209</v>
      </c>
      <c r="B137" s="10" t="s">
        <v>88</v>
      </c>
      <c r="C137" s="10" t="s">
        <v>98</v>
      </c>
      <c r="D137" s="18" t="n">
        <v>91274</v>
      </c>
      <c r="E137" s="19" t="n">
        <v>0.152</v>
      </c>
      <c r="F137" s="10" t="n">
        <v>0</v>
      </c>
      <c r="G137" s="20" t="n">
        <v>0.150096329319615</v>
      </c>
      <c r="H137" s="10" t="n">
        <v>72</v>
      </c>
      <c r="I137" s="10" t="n">
        <v>0</v>
      </c>
    </row>
    <row r="138" customFormat="false" ht="15" hidden="false" customHeight="false" outlineLevel="0" collapsed="false">
      <c r="A138" s="10" t="s">
        <v>210</v>
      </c>
      <c r="B138" s="10" t="s">
        <v>67</v>
      </c>
      <c r="C138" s="10" t="s">
        <v>74</v>
      </c>
      <c r="D138" s="18" t="n">
        <v>59714</v>
      </c>
      <c r="E138" s="19" t="n">
        <v>0.166</v>
      </c>
      <c r="F138" s="10" t="n">
        <v>0</v>
      </c>
      <c r="G138" s="20" t="n">
        <v>0.319984978779834</v>
      </c>
      <c r="H138" s="10" t="n">
        <v>72</v>
      </c>
      <c r="I138" s="10" t="n">
        <v>1</v>
      </c>
    </row>
    <row r="139" customFormat="false" ht="15" hidden="false" customHeight="false" outlineLevel="0" collapsed="false">
      <c r="A139" s="10" t="s">
        <v>211</v>
      </c>
      <c r="B139" s="10" t="s">
        <v>53</v>
      </c>
      <c r="C139" s="10" t="s">
        <v>54</v>
      </c>
      <c r="D139" s="18" t="n">
        <v>109934</v>
      </c>
      <c r="E139" s="19" t="n">
        <v>0.217</v>
      </c>
      <c r="F139" s="10" t="n">
        <v>0</v>
      </c>
      <c r="G139" s="20" t="n">
        <v>0.139040335953449</v>
      </c>
      <c r="H139" s="10" t="n">
        <v>48</v>
      </c>
      <c r="I139" s="10" t="n">
        <v>0</v>
      </c>
    </row>
    <row r="140" customFormat="false" ht="15" hidden="false" customHeight="false" outlineLevel="0" collapsed="false">
      <c r="A140" s="10" t="s">
        <v>212</v>
      </c>
      <c r="B140" s="10" t="s">
        <v>62</v>
      </c>
      <c r="C140" s="10" t="s">
        <v>100</v>
      </c>
      <c r="D140" s="18" t="n">
        <v>37439</v>
      </c>
      <c r="E140" s="19" t="n">
        <v>0.812</v>
      </c>
      <c r="F140" s="10" t="n">
        <v>0</v>
      </c>
      <c r="G140" s="20" t="n">
        <v>0.282718242868691</v>
      </c>
      <c r="H140" s="10" t="n">
        <v>12</v>
      </c>
      <c r="I140" s="10" t="n">
        <v>1</v>
      </c>
    </row>
    <row r="141" customFormat="false" ht="15" hidden="false" customHeight="false" outlineLevel="0" collapsed="false">
      <c r="A141" s="10" t="s">
        <v>213</v>
      </c>
      <c r="B141" s="10" t="s">
        <v>83</v>
      </c>
      <c r="C141" s="10" t="s">
        <v>57</v>
      </c>
      <c r="D141" s="18" t="n">
        <v>57468</v>
      </c>
      <c r="E141" s="19" t="n">
        <v>0.195</v>
      </c>
      <c r="F141" s="10" t="n">
        <v>0</v>
      </c>
      <c r="G141" s="20" t="n">
        <v>0.18972004711122</v>
      </c>
      <c r="H141" s="10" t="n">
        <v>48</v>
      </c>
      <c r="I141" s="10" t="n">
        <v>0</v>
      </c>
    </row>
    <row r="142" customFormat="false" ht="15" hidden="false" customHeight="false" outlineLevel="0" collapsed="false">
      <c r="A142" s="10" t="s">
        <v>214</v>
      </c>
      <c r="B142" s="10" t="s">
        <v>53</v>
      </c>
      <c r="C142" s="10" t="s">
        <v>98</v>
      </c>
      <c r="D142" s="18" t="n">
        <v>112928</v>
      </c>
      <c r="E142" s="19" t="n">
        <v>0.198</v>
      </c>
      <c r="F142" s="10" t="n">
        <v>0</v>
      </c>
      <c r="G142" s="20" t="n">
        <v>0.164985941523411</v>
      </c>
      <c r="H142" s="10" t="n">
        <v>48</v>
      </c>
      <c r="I142" s="10" t="n">
        <v>1</v>
      </c>
    </row>
    <row r="143" customFormat="false" ht="15" hidden="false" customHeight="false" outlineLevel="0" collapsed="false">
      <c r="A143" s="10" t="s">
        <v>215</v>
      </c>
      <c r="B143" s="10" t="s">
        <v>76</v>
      </c>
      <c r="C143" s="10" t="s">
        <v>81</v>
      </c>
      <c r="D143" s="18" t="n">
        <v>145581</v>
      </c>
      <c r="E143" s="19" t="n">
        <v>0.345</v>
      </c>
      <c r="F143" s="10" t="n">
        <v>0</v>
      </c>
      <c r="G143" s="20" t="n">
        <v>0.157431912977785</v>
      </c>
      <c r="H143" s="10" t="n">
        <v>60</v>
      </c>
      <c r="I143" s="10" t="n">
        <v>0</v>
      </c>
    </row>
    <row r="144" customFormat="false" ht="15" hidden="false" customHeight="false" outlineLevel="0" collapsed="false">
      <c r="A144" s="10" t="s">
        <v>216</v>
      </c>
      <c r="B144" s="10" t="s">
        <v>69</v>
      </c>
      <c r="C144" s="10" t="s">
        <v>98</v>
      </c>
      <c r="D144" s="18" t="n">
        <v>40525</v>
      </c>
      <c r="E144" s="19" t="n">
        <v>0.188</v>
      </c>
      <c r="F144" s="10" t="n">
        <v>0</v>
      </c>
      <c r="G144" s="20" t="n">
        <v>0.156608247843941</v>
      </c>
      <c r="H144" s="10" t="n">
        <v>24</v>
      </c>
      <c r="I144" s="10" t="n">
        <v>0</v>
      </c>
    </row>
    <row r="145" customFormat="false" ht="15" hidden="false" customHeight="false" outlineLevel="0" collapsed="false">
      <c r="A145" s="10" t="s">
        <v>217</v>
      </c>
      <c r="B145" s="10" t="s">
        <v>76</v>
      </c>
      <c r="C145" s="10" t="s">
        <v>54</v>
      </c>
      <c r="D145" s="18" t="n">
        <v>22482</v>
      </c>
      <c r="E145" s="19" t="n">
        <v>0.389</v>
      </c>
      <c r="F145" s="10" t="n">
        <v>0</v>
      </c>
      <c r="G145" s="20" t="n">
        <v>0.193824128625865</v>
      </c>
      <c r="H145" s="10" t="n">
        <v>84</v>
      </c>
      <c r="I145" s="10" t="n">
        <v>1</v>
      </c>
    </row>
    <row r="146" customFormat="false" ht="15" hidden="false" customHeight="false" outlineLevel="0" collapsed="false">
      <c r="A146" s="10" t="s">
        <v>218</v>
      </c>
      <c r="B146" s="10" t="s">
        <v>83</v>
      </c>
      <c r="C146" s="10" t="s">
        <v>100</v>
      </c>
      <c r="D146" s="18" t="n">
        <v>65521</v>
      </c>
      <c r="E146" s="19" t="n">
        <v>0.462</v>
      </c>
      <c r="F146" s="10" t="n">
        <v>0</v>
      </c>
      <c r="G146" s="20" t="n">
        <v>0.12713460665868</v>
      </c>
      <c r="H146" s="10" t="n">
        <v>60</v>
      </c>
      <c r="I146" s="10" t="n">
        <v>1</v>
      </c>
    </row>
    <row r="147" customFormat="false" ht="15" hidden="false" customHeight="false" outlineLevel="0" collapsed="false">
      <c r="A147" s="10" t="s">
        <v>219</v>
      </c>
      <c r="B147" s="10" t="s">
        <v>62</v>
      </c>
      <c r="C147" s="10" t="s">
        <v>60</v>
      </c>
      <c r="D147" s="18" t="n">
        <v>83721</v>
      </c>
      <c r="E147" s="19" t="n">
        <v>0.185</v>
      </c>
      <c r="F147" s="10" t="n">
        <v>0</v>
      </c>
      <c r="G147" s="20" t="n">
        <v>0.167677969550525</v>
      </c>
      <c r="H147" s="10" t="n">
        <v>48</v>
      </c>
      <c r="I147" s="10" t="n">
        <v>0</v>
      </c>
    </row>
    <row r="148" customFormat="false" ht="15" hidden="false" customHeight="false" outlineLevel="0" collapsed="false">
      <c r="A148" s="10" t="s">
        <v>220</v>
      </c>
      <c r="B148" s="10" t="s">
        <v>64</v>
      </c>
      <c r="C148" s="10" t="s">
        <v>74</v>
      </c>
      <c r="D148" s="18" t="n">
        <v>268328</v>
      </c>
      <c r="E148" s="19" t="n">
        <v>0.19</v>
      </c>
      <c r="F148" s="10" t="n">
        <v>0</v>
      </c>
      <c r="G148" s="20" t="n">
        <v>0.184686652645257</v>
      </c>
      <c r="H148" s="10" t="n">
        <v>120</v>
      </c>
      <c r="I148" s="10" t="n">
        <v>0</v>
      </c>
    </row>
    <row r="149" customFormat="false" ht="15" hidden="false" customHeight="false" outlineLevel="0" collapsed="false">
      <c r="A149" s="10" t="s">
        <v>221</v>
      </c>
      <c r="B149" s="10" t="s">
        <v>69</v>
      </c>
      <c r="C149" s="10" t="s">
        <v>54</v>
      </c>
      <c r="D149" s="18" t="n">
        <v>113323</v>
      </c>
      <c r="E149" s="19" t="n">
        <v>0.371</v>
      </c>
      <c r="F149" s="10" t="n">
        <v>0</v>
      </c>
      <c r="G149" s="20" t="n">
        <v>0.359706567395613</v>
      </c>
      <c r="H149" s="10" t="n">
        <v>60</v>
      </c>
      <c r="I149" s="10" t="n">
        <v>1</v>
      </c>
    </row>
    <row r="150" customFormat="false" ht="15" hidden="false" customHeight="false" outlineLevel="0" collapsed="false">
      <c r="A150" s="10" t="s">
        <v>222</v>
      </c>
      <c r="B150" s="10" t="s">
        <v>83</v>
      </c>
      <c r="C150" s="10" t="s">
        <v>100</v>
      </c>
      <c r="D150" s="18" t="n">
        <v>67216</v>
      </c>
      <c r="E150" s="19" t="n">
        <v>0.21</v>
      </c>
      <c r="F150" s="10" t="n">
        <v>0</v>
      </c>
      <c r="G150" s="20" t="n">
        <v>0.153281946065557</v>
      </c>
      <c r="H150" s="10" t="n">
        <v>72</v>
      </c>
      <c r="I150" s="10" t="n">
        <v>0</v>
      </c>
    </row>
    <row r="151" customFormat="false" ht="15" hidden="false" customHeight="false" outlineLevel="0" collapsed="false">
      <c r="A151" s="10" t="s">
        <v>223</v>
      </c>
      <c r="B151" s="10" t="s">
        <v>69</v>
      </c>
      <c r="C151" s="10" t="s">
        <v>77</v>
      </c>
      <c r="D151" s="18" t="n">
        <v>71357</v>
      </c>
      <c r="E151" s="19" t="n">
        <v>0.431</v>
      </c>
      <c r="F151" s="10" t="n">
        <v>0</v>
      </c>
      <c r="G151" s="20" t="n">
        <v>0.85255270925879</v>
      </c>
      <c r="H151" s="10" t="n">
        <v>36</v>
      </c>
      <c r="I151" s="10" t="n">
        <v>1</v>
      </c>
    </row>
    <row r="152" customFormat="false" ht="15" hidden="false" customHeight="false" outlineLevel="0" collapsed="false">
      <c r="A152" s="10" t="s">
        <v>224</v>
      </c>
      <c r="B152" s="10" t="s">
        <v>53</v>
      </c>
      <c r="C152" s="10" t="s">
        <v>54</v>
      </c>
      <c r="D152" s="18" t="n">
        <v>59586</v>
      </c>
      <c r="E152" s="19" t="n">
        <v>0.517</v>
      </c>
      <c r="F152" s="10" t="n">
        <v>0</v>
      </c>
      <c r="G152" s="20" t="n">
        <v>0.098705066913412</v>
      </c>
      <c r="H152" s="10" t="n">
        <v>48</v>
      </c>
      <c r="I152" s="10" t="n">
        <v>1</v>
      </c>
    </row>
    <row r="153" customFormat="false" ht="15" hidden="false" customHeight="false" outlineLevel="0" collapsed="false">
      <c r="A153" s="10" t="s">
        <v>225</v>
      </c>
      <c r="B153" s="10" t="s">
        <v>56</v>
      </c>
      <c r="C153" s="10" t="s">
        <v>98</v>
      </c>
      <c r="D153" s="18" t="n">
        <v>19525</v>
      </c>
      <c r="E153" s="19" t="n">
        <v>0.05</v>
      </c>
      <c r="F153" s="10" t="n">
        <v>0</v>
      </c>
      <c r="G153" s="20" t="n">
        <v>0.253175241703473</v>
      </c>
      <c r="H153" s="10" t="n">
        <v>48</v>
      </c>
      <c r="I153" s="10" t="n">
        <v>0</v>
      </c>
    </row>
    <row r="154" customFormat="false" ht="15" hidden="false" customHeight="false" outlineLevel="0" collapsed="false">
      <c r="A154" s="10" t="s">
        <v>226</v>
      </c>
      <c r="B154" s="10" t="s">
        <v>76</v>
      </c>
      <c r="C154" s="10" t="s">
        <v>98</v>
      </c>
      <c r="D154" s="18" t="n">
        <v>107163</v>
      </c>
      <c r="E154" s="19" t="n">
        <v>0.614</v>
      </c>
      <c r="F154" s="10" t="n">
        <v>0</v>
      </c>
      <c r="G154" s="20" t="n">
        <v>0.179989694901758</v>
      </c>
      <c r="H154" s="10" t="n">
        <v>36</v>
      </c>
      <c r="I154" s="10" t="n">
        <v>1</v>
      </c>
    </row>
    <row r="155" customFormat="false" ht="15" hidden="false" customHeight="false" outlineLevel="0" collapsed="false">
      <c r="A155" s="10" t="s">
        <v>227</v>
      </c>
      <c r="B155" s="10" t="s">
        <v>56</v>
      </c>
      <c r="C155" s="10" t="s">
        <v>72</v>
      </c>
      <c r="D155" s="18" t="n">
        <v>153000</v>
      </c>
      <c r="E155" s="19" t="n">
        <v>0.405</v>
      </c>
      <c r="F155" s="10" t="n">
        <v>0</v>
      </c>
      <c r="G155" s="20" t="n">
        <v>0.138012186766264</v>
      </c>
      <c r="H155" s="10" t="n">
        <v>60</v>
      </c>
      <c r="I155" s="10" t="n">
        <v>0</v>
      </c>
    </row>
    <row r="156" customFormat="false" ht="15" hidden="false" customHeight="false" outlineLevel="0" collapsed="false">
      <c r="A156" s="10" t="s">
        <v>228</v>
      </c>
      <c r="B156" s="10" t="s">
        <v>59</v>
      </c>
      <c r="C156" s="10" t="s">
        <v>74</v>
      </c>
      <c r="D156" s="18" t="n">
        <v>25181</v>
      </c>
      <c r="E156" s="19" t="n">
        <v>0.748</v>
      </c>
      <c r="F156" s="10" t="n">
        <v>0</v>
      </c>
      <c r="G156" s="20" t="n">
        <v>0.178064846742305</v>
      </c>
      <c r="H156" s="10" t="n">
        <v>48</v>
      </c>
      <c r="I156" s="10" t="n">
        <v>0</v>
      </c>
    </row>
    <row r="157" customFormat="false" ht="15" hidden="false" customHeight="false" outlineLevel="0" collapsed="false">
      <c r="A157" s="10" t="s">
        <v>229</v>
      </c>
      <c r="B157" s="10" t="s">
        <v>59</v>
      </c>
      <c r="C157" s="10" t="s">
        <v>98</v>
      </c>
      <c r="D157" s="18" t="n">
        <v>92139</v>
      </c>
      <c r="E157" s="19" t="n">
        <v>0.771</v>
      </c>
      <c r="F157" s="10" t="n">
        <v>0</v>
      </c>
      <c r="G157" s="20" t="n">
        <v>0.123679530812117</v>
      </c>
      <c r="H157" s="10" t="n">
        <v>72</v>
      </c>
      <c r="I157" s="10" t="n">
        <v>0</v>
      </c>
    </row>
    <row r="158" customFormat="false" ht="15" hidden="false" customHeight="false" outlineLevel="0" collapsed="false">
      <c r="A158" s="10" t="s">
        <v>230</v>
      </c>
      <c r="B158" s="10" t="s">
        <v>83</v>
      </c>
      <c r="C158" s="10" t="s">
        <v>72</v>
      </c>
      <c r="D158" s="18" t="n">
        <v>112203</v>
      </c>
      <c r="E158" s="19" t="n">
        <v>0.57</v>
      </c>
      <c r="F158" s="10" t="n">
        <v>0</v>
      </c>
      <c r="G158" s="20" t="n">
        <v>0.172112350709902</v>
      </c>
      <c r="H158" s="10" t="n">
        <v>24</v>
      </c>
      <c r="I158" s="10" t="n">
        <v>0</v>
      </c>
    </row>
    <row r="159" customFormat="false" ht="15" hidden="false" customHeight="false" outlineLevel="0" collapsed="false">
      <c r="A159" s="10" t="s">
        <v>231</v>
      </c>
      <c r="B159" s="10" t="s">
        <v>67</v>
      </c>
      <c r="C159" s="10" t="s">
        <v>57</v>
      </c>
      <c r="D159" s="18" t="n">
        <v>459136</v>
      </c>
      <c r="E159" s="19" t="n">
        <v>0.796</v>
      </c>
      <c r="F159" s="10" t="n">
        <v>0</v>
      </c>
      <c r="G159" s="20" t="n">
        <v>0.190286236230771</v>
      </c>
      <c r="H159" s="10" t="n">
        <v>72</v>
      </c>
      <c r="I159" s="10" t="n">
        <v>0</v>
      </c>
    </row>
    <row r="160" customFormat="false" ht="15" hidden="false" customHeight="false" outlineLevel="0" collapsed="false">
      <c r="A160" s="10" t="s">
        <v>232</v>
      </c>
      <c r="B160" s="10" t="s">
        <v>62</v>
      </c>
      <c r="C160" s="10" t="s">
        <v>54</v>
      </c>
      <c r="D160" s="18" t="n">
        <v>423535</v>
      </c>
      <c r="E160" s="19" t="n">
        <v>0.28</v>
      </c>
      <c r="F160" s="10" t="n">
        <v>15</v>
      </c>
      <c r="G160" s="20" t="n">
        <v>0.134221050759489</v>
      </c>
      <c r="H160" s="10" t="n">
        <v>36</v>
      </c>
      <c r="I160" s="10" t="n">
        <v>0</v>
      </c>
    </row>
    <row r="161" customFormat="false" ht="15" hidden="false" customHeight="false" outlineLevel="0" collapsed="false">
      <c r="A161" s="10" t="s">
        <v>233</v>
      </c>
      <c r="B161" s="10" t="s">
        <v>59</v>
      </c>
      <c r="C161" s="10" t="s">
        <v>98</v>
      </c>
      <c r="D161" s="18" t="n">
        <v>128685</v>
      </c>
      <c r="E161" s="19" t="n">
        <v>0.701</v>
      </c>
      <c r="F161" s="10" t="n">
        <v>0</v>
      </c>
      <c r="G161" s="20" t="n">
        <v>0.131136255383796</v>
      </c>
      <c r="H161" s="10" t="n">
        <v>72</v>
      </c>
      <c r="I161" s="10" t="n">
        <v>0</v>
      </c>
    </row>
    <row r="162" customFormat="false" ht="15" hidden="false" customHeight="false" outlineLevel="0" collapsed="false">
      <c r="A162" s="10" t="s">
        <v>234</v>
      </c>
      <c r="B162" s="10" t="s">
        <v>88</v>
      </c>
      <c r="C162" s="10" t="s">
        <v>79</v>
      </c>
      <c r="D162" s="18" t="n">
        <v>113995</v>
      </c>
      <c r="E162" s="19" t="n">
        <v>0.536</v>
      </c>
      <c r="F162" s="10" t="n">
        <v>0</v>
      </c>
      <c r="G162" s="20" t="n">
        <v>0.145260016418262</v>
      </c>
      <c r="H162" s="10" t="n">
        <v>84</v>
      </c>
      <c r="I162" s="10" t="n">
        <v>0</v>
      </c>
    </row>
    <row r="163" customFormat="false" ht="15" hidden="false" customHeight="false" outlineLevel="0" collapsed="false">
      <c r="A163" s="10" t="s">
        <v>235</v>
      </c>
      <c r="B163" s="10" t="s">
        <v>59</v>
      </c>
      <c r="C163" s="10" t="s">
        <v>89</v>
      </c>
      <c r="D163" s="18" t="n">
        <v>23319</v>
      </c>
      <c r="E163" s="19" t="n">
        <v>0.102</v>
      </c>
      <c r="F163" s="10" t="n">
        <v>15</v>
      </c>
      <c r="G163" s="20" t="n">
        <v>0.204292002783947</v>
      </c>
      <c r="H163" s="10" t="n">
        <v>84</v>
      </c>
      <c r="I163" s="10" t="n">
        <v>0</v>
      </c>
    </row>
    <row r="164" customFormat="false" ht="15" hidden="false" customHeight="false" outlineLevel="0" collapsed="false">
      <c r="A164" s="10" t="s">
        <v>236</v>
      </c>
      <c r="B164" s="10" t="s">
        <v>59</v>
      </c>
      <c r="C164" s="10" t="s">
        <v>89</v>
      </c>
      <c r="D164" s="18" t="n">
        <v>53426</v>
      </c>
      <c r="E164" s="19" t="n">
        <v>0.176</v>
      </c>
      <c r="F164" s="10" t="n">
        <v>0</v>
      </c>
      <c r="G164" s="20" t="n">
        <v>0.0070601455355467</v>
      </c>
      <c r="H164" s="10" t="n">
        <v>24</v>
      </c>
      <c r="I164" s="10" t="n">
        <v>0</v>
      </c>
    </row>
    <row r="165" customFormat="false" ht="15" hidden="false" customHeight="false" outlineLevel="0" collapsed="false">
      <c r="A165" s="10" t="s">
        <v>237</v>
      </c>
      <c r="B165" s="10" t="s">
        <v>59</v>
      </c>
      <c r="C165" s="10" t="s">
        <v>98</v>
      </c>
      <c r="D165" s="18" t="n">
        <v>30282</v>
      </c>
      <c r="E165" s="19" t="n">
        <v>0.512</v>
      </c>
      <c r="F165" s="10" t="n">
        <v>0</v>
      </c>
      <c r="G165" s="20" t="n">
        <v>0.212995011202333</v>
      </c>
      <c r="H165" s="10" t="n">
        <v>36</v>
      </c>
      <c r="I165" s="10" t="n">
        <v>0</v>
      </c>
    </row>
    <row r="166" customFormat="false" ht="15" hidden="false" customHeight="false" outlineLevel="0" collapsed="false">
      <c r="A166" s="10" t="s">
        <v>238</v>
      </c>
      <c r="B166" s="10" t="s">
        <v>59</v>
      </c>
      <c r="C166" s="10" t="s">
        <v>54</v>
      </c>
      <c r="D166" s="18" t="n">
        <v>28692</v>
      </c>
      <c r="E166" s="19" t="n">
        <v>0.419</v>
      </c>
      <c r="F166" s="10" t="n">
        <v>0</v>
      </c>
      <c r="G166" s="20" t="n">
        <v>0.133103127492172</v>
      </c>
      <c r="H166" s="10" t="n">
        <v>60</v>
      </c>
      <c r="I166" s="10" t="n">
        <v>0</v>
      </c>
    </row>
    <row r="167" customFormat="false" ht="15" hidden="false" customHeight="false" outlineLevel="0" collapsed="false">
      <c r="A167" s="10" t="s">
        <v>239</v>
      </c>
      <c r="B167" s="10" t="s">
        <v>76</v>
      </c>
      <c r="C167" s="10" t="s">
        <v>74</v>
      </c>
      <c r="D167" s="18" t="n">
        <v>43578</v>
      </c>
      <c r="E167" s="19" t="n">
        <v>0.088</v>
      </c>
      <c r="F167" s="10" t="n">
        <v>0</v>
      </c>
      <c r="G167" s="20" t="n">
        <v>0.186880456276487</v>
      </c>
      <c r="H167" s="10" t="n">
        <v>60</v>
      </c>
      <c r="I167" s="10" t="n">
        <v>0</v>
      </c>
    </row>
    <row r="168" customFormat="false" ht="15" hidden="false" customHeight="false" outlineLevel="0" collapsed="false">
      <c r="A168" s="10" t="s">
        <v>240</v>
      </c>
      <c r="B168" s="10" t="s">
        <v>83</v>
      </c>
      <c r="C168" s="10" t="s">
        <v>72</v>
      </c>
      <c r="D168" s="18" t="n">
        <v>30157</v>
      </c>
      <c r="E168" s="19" t="n">
        <v>0.396</v>
      </c>
      <c r="F168" s="10" t="n">
        <v>0</v>
      </c>
      <c r="G168" s="20" t="n">
        <v>0.211671457804487</v>
      </c>
      <c r="H168" s="10" t="n">
        <v>48</v>
      </c>
      <c r="I168" s="10" t="n">
        <v>0</v>
      </c>
    </row>
    <row r="169" customFormat="false" ht="15" hidden="false" customHeight="false" outlineLevel="0" collapsed="false">
      <c r="A169" s="10" t="s">
        <v>241</v>
      </c>
      <c r="B169" s="10" t="s">
        <v>67</v>
      </c>
      <c r="C169" s="10" t="s">
        <v>54</v>
      </c>
      <c r="D169" s="18" t="n">
        <v>121215</v>
      </c>
      <c r="E169" s="19" t="n">
        <v>0.737</v>
      </c>
      <c r="F169" s="10" t="n">
        <v>0</v>
      </c>
      <c r="G169" s="20" t="n">
        <v>0.205738724304943</v>
      </c>
      <c r="H169" s="10" t="n">
        <v>36</v>
      </c>
      <c r="I169" s="10" t="n">
        <v>0</v>
      </c>
    </row>
    <row r="170" customFormat="false" ht="15" hidden="false" customHeight="false" outlineLevel="0" collapsed="false">
      <c r="A170" s="10" t="s">
        <v>242</v>
      </c>
      <c r="B170" s="10" t="s">
        <v>76</v>
      </c>
      <c r="C170" s="10" t="s">
        <v>57</v>
      </c>
      <c r="D170" s="18" t="n">
        <v>37527</v>
      </c>
      <c r="E170" s="19" t="n">
        <v>0.698</v>
      </c>
      <c r="F170" s="10" t="n">
        <v>0</v>
      </c>
      <c r="G170" s="20" t="n">
        <v>0.075949775420243</v>
      </c>
      <c r="H170" s="10" t="n">
        <v>48</v>
      </c>
      <c r="I170" s="10" t="n">
        <v>0</v>
      </c>
    </row>
    <row r="171" customFormat="false" ht="15" hidden="false" customHeight="false" outlineLevel="0" collapsed="false">
      <c r="A171" s="10" t="s">
        <v>243</v>
      </c>
      <c r="B171" s="10" t="s">
        <v>53</v>
      </c>
      <c r="C171" s="10" t="s">
        <v>54</v>
      </c>
      <c r="D171" s="18" t="n">
        <v>630759</v>
      </c>
      <c r="E171" s="19" t="n">
        <v>0.291</v>
      </c>
      <c r="F171" s="10" t="n">
        <v>0</v>
      </c>
      <c r="G171" s="20" t="n">
        <v>0.263436472490849</v>
      </c>
      <c r="H171" s="10" t="n">
        <v>48</v>
      </c>
      <c r="I171" s="10" t="n">
        <v>0</v>
      </c>
    </row>
    <row r="172" customFormat="false" ht="15" hidden="false" customHeight="false" outlineLevel="0" collapsed="false">
      <c r="A172" s="10" t="s">
        <v>244</v>
      </c>
      <c r="B172" s="10" t="s">
        <v>88</v>
      </c>
      <c r="C172" s="10" t="s">
        <v>74</v>
      </c>
      <c r="D172" s="18" t="n">
        <v>17155</v>
      </c>
      <c r="E172" s="19" t="n">
        <v>0.343</v>
      </c>
      <c r="F172" s="10" t="n">
        <v>0</v>
      </c>
      <c r="G172" s="20" t="n">
        <v>0.10652282377185</v>
      </c>
      <c r="H172" s="10" t="n">
        <v>24</v>
      </c>
      <c r="I172" s="10" t="n">
        <v>0</v>
      </c>
    </row>
    <row r="173" customFormat="false" ht="15" hidden="false" customHeight="false" outlineLevel="0" collapsed="false">
      <c r="A173" s="10" t="s">
        <v>245</v>
      </c>
      <c r="B173" s="10" t="s">
        <v>59</v>
      </c>
      <c r="C173" s="10" t="s">
        <v>72</v>
      </c>
      <c r="D173" s="18" t="n">
        <v>40453</v>
      </c>
      <c r="E173" s="19" t="n">
        <v>0.594</v>
      </c>
      <c r="F173" s="10" t="n">
        <v>0</v>
      </c>
      <c r="G173" s="20" t="n">
        <v>0.157695951358683</v>
      </c>
      <c r="H173" s="10" t="n">
        <v>48</v>
      </c>
      <c r="I173" s="10" t="n">
        <v>0</v>
      </c>
    </row>
    <row r="174" customFormat="false" ht="15" hidden="false" customHeight="false" outlineLevel="0" collapsed="false">
      <c r="A174" s="10" t="s">
        <v>246</v>
      </c>
      <c r="B174" s="10" t="s">
        <v>64</v>
      </c>
      <c r="C174" s="10" t="s">
        <v>77</v>
      </c>
      <c r="D174" s="18" t="n">
        <v>310548</v>
      </c>
      <c r="E174" s="19" t="n">
        <v>0.805</v>
      </c>
      <c r="F174" s="10" t="n">
        <v>0</v>
      </c>
      <c r="G174" s="20" t="n">
        <v>0.02754402294271</v>
      </c>
      <c r="H174" s="10" t="n">
        <v>48</v>
      </c>
      <c r="I174" s="10" t="n">
        <v>0</v>
      </c>
    </row>
    <row r="175" customFormat="false" ht="15" hidden="false" customHeight="false" outlineLevel="0" collapsed="false">
      <c r="A175" s="10" t="s">
        <v>247</v>
      </c>
      <c r="B175" s="10" t="s">
        <v>56</v>
      </c>
      <c r="C175" s="10" t="s">
        <v>79</v>
      </c>
      <c r="D175" s="18" t="n">
        <v>44327</v>
      </c>
      <c r="E175" s="19" t="n">
        <v>0.412</v>
      </c>
      <c r="F175" s="10" t="n">
        <v>0</v>
      </c>
      <c r="G175" s="20" t="n">
        <v>0.408151378343586</v>
      </c>
      <c r="H175" s="10" t="n">
        <v>48</v>
      </c>
      <c r="I175" s="10" t="n">
        <v>1</v>
      </c>
    </row>
    <row r="176" customFormat="false" ht="15" hidden="false" customHeight="false" outlineLevel="0" collapsed="false">
      <c r="A176" s="10" t="s">
        <v>248</v>
      </c>
      <c r="B176" s="10" t="s">
        <v>88</v>
      </c>
      <c r="C176" s="10" t="s">
        <v>60</v>
      </c>
      <c r="D176" s="18" t="n">
        <v>80660</v>
      </c>
      <c r="E176" s="19" t="n">
        <v>0.818</v>
      </c>
      <c r="F176" s="10" t="n">
        <v>0</v>
      </c>
      <c r="G176" s="20" t="n">
        <v>0.354284356931666</v>
      </c>
      <c r="H176" s="10" t="n">
        <v>60</v>
      </c>
      <c r="I176" s="10" t="n">
        <v>1</v>
      </c>
    </row>
    <row r="177" customFormat="false" ht="15" hidden="false" customHeight="false" outlineLevel="0" collapsed="false">
      <c r="A177" s="10" t="s">
        <v>249</v>
      </c>
      <c r="B177" s="10" t="s">
        <v>69</v>
      </c>
      <c r="C177" s="10" t="s">
        <v>54</v>
      </c>
      <c r="D177" s="18" t="n">
        <v>98838</v>
      </c>
      <c r="E177" s="19" t="n">
        <v>0.312</v>
      </c>
      <c r="F177" s="10" t="n">
        <v>0</v>
      </c>
      <c r="G177" s="20" t="n">
        <v>0.167016562709219</v>
      </c>
      <c r="H177" s="10" t="n">
        <v>120</v>
      </c>
      <c r="I177" s="10" t="n">
        <v>0</v>
      </c>
    </row>
    <row r="178" customFormat="false" ht="15" hidden="false" customHeight="false" outlineLevel="0" collapsed="false">
      <c r="A178" s="10" t="s">
        <v>250</v>
      </c>
      <c r="B178" s="10" t="s">
        <v>88</v>
      </c>
      <c r="C178" s="10" t="s">
        <v>60</v>
      </c>
      <c r="D178" s="18" t="n">
        <v>205310</v>
      </c>
      <c r="E178" s="19" t="n">
        <v>0.757</v>
      </c>
      <c r="F178" s="10" t="n">
        <v>0</v>
      </c>
      <c r="G178" s="20" t="n">
        <v>0.137495157859239</v>
      </c>
      <c r="H178" s="10" t="n">
        <v>36</v>
      </c>
      <c r="I178" s="10" t="n">
        <v>0</v>
      </c>
    </row>
    <row r="179" customFormat="false" ht="15" hidden="false" customHeight="false" outlineLevel="0" collapsed="false">
      <c r="A179" s="10" t="s">
        <v>251</v>
      </c>
      <c r="B179" s="10" t="s">
        <v>69</v>
      </c>
      <c r="C179" s="10" t="s">
        <v>98</v>
      </c>
      <c r="D179" s="18" t="n">
        <v>47160</v>
      </c>
      <c r="E179" s="19" t="n">
        <v>0.252</v>
      </c>
      <c r="F179" s="10" t="n">
        <v>0</v>
      </c>
      <c r="G179" s="20" t="n">
        <v>0.162438418027395</v>
      </c>
      <c r="H179" s="10" t="n">
        <v>72</v>
      </c>
      <c r="I179" s="10" t="n">
        <v>1</v>
      </c>
    </row>
    <row r="180" customFormat="false" ht="15" hidden="false" customHeight="false" outlineLevel="0" collapsed="false">
      <c r="A180" s="10" t="s">
        <v>252</v>
      </c>
      <c r="B180" s="10" t="s">
        <v>88</v>
      </c>
      <c r="C180" s="10" t="s">
        <v>98</v>
      </c>
      <c r="D180" s="18" t="n">
        <v>34139</v>
      </c>
      <c r="E180" s="19" t="n">
        <v>0.307</v>
      </c>
      <c r="F180" s="10" t="n">
        <v>0</v>
      </c>
      <c r="G180" s="20" t="n">
        <v>0.172733416317961</v>
      </c>
      <c r="H180" s="10" t="n">
        <v>84</v>
      </c>
      <c r="I180" s="10" t="n">
        <v>0</v>
      </c>
    </row>
    <row r="181" customFormat="false" ht="15" hidden="false" customHeight="false" outlineLevel="0" collapsed="false">
      <c r="A181" s="10" t="s">
        <v>253</v>
      </c>
      <c r="B181" s="10" t="s">
        <v>53</v>
      </c>
      <c r="C181" s="10" t="s">
        <v>79</v>
      </c>
      <c r="D181" s="18" t="n">
        <v>168981</v>
      </c>
      <c r="E181" s="19" t="n">
        <v>0.095</v>
      </c>
      <c r="F181" s="10" t="n">
        <v>0</v>
      </c>
      <c r="G181" s="20" t="n">
        <v>0.209520318565001</v>
      </c>
      <c r="H181" s="10" t="n">
        <v>60</v>
      </c>
      <c r="I181" s="10" t="n">
        <v>0</v>
      </c>
    </row>
    <row r="182" customFormat="false" ht="15" hidden="false" customHeight="false" outlineLevel="0" collapsed="false">
      <c r="A182" s="10" t="s">
        <v>254</v>
      </c>
      <c r="B182" s="10" t="s">
        <v>64</v>
      </c>
      <c r="C182" s="10" t="s">
        <v>57</v>
      </c>
      <c r="D182" s="18" t="n">
        <v>207012</v>
      </c>
      <c r="E182" s="19" t="n">
        <v>0.528</v>
      </c>
      <c r="F182" s="10" t="n">
        <v>0</v>
      </c>
      <c r="G182" s="20" t="n">
        <v>0.264807273270284</v>
      </c>
      <c r="H182" s="10" t="n">
        <v>48</v>
      </c>
      <c r="I182" s="10" t="n">
        <v>0</v>
      </c>
    </row>
    <row r="183" customFormat="false" ht="15" hidden="false" customHeight="false" outlineLevel="0" collapsed="false">
      <c r="A183" s="10" t="s">
        <v>255</v>
      </c>
      <c r="B183" s="10" t="s">
        <v>83</v>
      </c>
      <c r="C183" s="10" t="s">
        <v>89</v>
      </c>
      <c r="D183" s="18" t="n">
        <v>74968</v>
      </c>
      <c r="E183" s="19" t="n">
        <v>0.699</v>
      </c>
      <c r="F183" s="10" t="n">
        <v>0</v>
      </c>
      <c r="G183" s="20" t="n">
        <v>0.0631590702332818</v>
      </c>
      <c r="H183" s="10" t="n">
        <v>72</v>
      </c>
      <c r="I183" s="10" t="n">
        <v>0</v>
      </c>
    </row>
    <row r="184" customFormat="false" ht="15" hidden="false" customHeight="false" outlineLevel="0" collapsed="false">
      <c r="A184" s="10" t="s">
        <v>256</v>
      </c>
      <c r="B184" s="10" t="s">
        <v>69</v>
      </c>
      <c r="C184" s="10" t="s">
        <v>74</v>
      </c>
      <c r="D184" s="18" t="n">
        <v>9118</v>
      </c>
      <c r="E184" s="19" t="n">
        <v>0.679</v>
      </c>
      <c r="F184" s="10" t="n">
        <v>0</v>
      </c>
      <c r="G184" s="20" t="n">
        <v>0.217539303374159</v>
      </c>
      <c r="H184" s="10" t="n">
        <v>60</v>
      </c>
      <c r="I184" s="10" t="n">
        <v>0</v>
      </c>
    </row>
    <row r="185" customFormat="false" ht="15" hidden="false" customHeight="false" outlineLevel="0" collapsed="false">
      <c r="A185" s="10" t="s">
        <v>257</v>
      </c>
      <c r="B185" s="10" t="s">
        <v>59</v>
      </c>
      <c r="C185" s="10" t="s">
        <v>98</v>
      </c>
      <c r="D185" s="18" t="n">
        <v>38946</v>
      </c>
      <c r="E185" s="19" t="n">
        <v>0.284</v>
      </c>
      <c r="F185" s="10" t="n">
        <v>0</v>
      </c>
      <c r="G185" s="20" t="n">
        <v>0.135759186000843</v>
      </c>
      <c r="H185" s="10" t="n">
        <v>60</v>
      </c>
      <c r="I185" s="10" t="n">
        <v>1</v>
      </c>
    </row>
    <row r="186" customFormat="false" ht="15" hidden="false" customHeight="false" outlineLevel="0" collapsed="false">
      <c r="A186" s="10" t="s">
        <v>258</v>
      </c>
      <c r="B186" s="10" t="s">
        <v>59</v>
      </c>
      <c r="C186" s="10" t="s">
        <v>89</v>
      </c>
      <c r="D186" s="18" t="n">
        <v>55420</v>
      </c>
      <c r="E186" s="19" t="n">
        <v>0.165</v>
      </c>
      <c r="F186" s="10" t="n">
        <v>0</v>
      </c>
      <c r="G186" s="20" t="n">
        <v>0.116382987376836</v>
      </c>
      <c r="H186" s="10" t="n">
        <v>24</v>
      </c>
      <c r="I186" s="10" t="n">
        <v>0</v>
      </c>
    </row>
    <row r="187" customFormat="false" ht="15" hidden="false" customHeight="false" outlineLevel="0" collapsed="false">
      <c r="A187" s="10" t="s">
        <v>259</v>
      </c>
      <c r="B187" s="10" t="s">
        <v>64</v>
      </c>
      <c r="C187" s="10" t="s">
        <v>89</v>
      </c>
      <c r="D187" s="18" t="n">
        <v>134652</v>
      </c>
      <c r="E187" s="19" t="n">
        <v>0.664</v>
      </c>
      <c r="F187" s="10" t="n">
        <v>0</v>
      </c>
      <c r="G187" s="20" t="n">
        <v>0.2513596618621</v>
      </c>
      <c r="H187" s="10" t="n">
        <v>84</v>
      </c>
      <c r="I187" s="10" t="n">
        <v>0</v>
      </c>
    </row>
    <row r="188" customFormat="false" ht="15" hidden="false" customHeight="false" outlineLevel="0" collapsed="false">
      <c r="A188" s="10" t="s">
        <v>260</v>
      </c>
      <c r="B188" s="10" t="s">
        <v>62</v>
      </c>
      <c r="C188" s="10" t="s">
        <v>57</v>
      </c>
      <c r="D188" s="18" t="n">
        <v>30917</v>
      </c>
      <c r="E188" s="19" t="n">
        <v>0.43</v>
      </c>
      <c r="F188" s="10" t="n">
        <v>0</v>
      </c>
      <c r="G188" s="20" t="n">
        <v>0.001</v>
      </c>
      <c r="H188" s="10" t="n">
        <v>36</v>
      </c>
      <c r="I188" s="10" t="n">
        <v>0</v>
      </c>
    </row>
    <row r="189" customFormat="false" ht="15" hidden="false" customHeight="false" outlineLevel="0" collapsed="false">
      <c r="A189" s="10" t="s">
        <v>261</v>
      </c>
      <c r="B189" s="10" t="s">
        <v>53</v>
      </c>
      <c r="C189" s="10" t="s">
        <v>100</v>
      </c>
      <c r="D189" s="18" t="n">
        <v>6914</v>
      </c>
      <c r="E189" s="19" t="n">
        <v>0.937</v>
      </c>
      <c r="F189" s="10" t="n">
        <v>0</v>
      </c>
      <c r="G189" s="20" t="n">
        <v>0.205419659810962</v>
      </c>
      <c r="H189" s="10" t="n">
        <v>84</v>
      </c>
      <c r="I189" s="10" t="n">
        <v>0</v>
      </c>
    </row>
    <row r="190" customFormat="false" ht="15" hidden="false" customHeight="false" outlineLevel="0" collapsed="false">
      <c r="A190" s="10" t="s">
        <v>262</v>
      </c>
      <c r="B190" s="10" t="s">
        <v>76</v>
      </c>
      <c r="C190" s="10" t="s">
        <v>54</v>
      </c>
      <c r="D190" s="18" t="n">
        <v>471823</v>
      </c>
      <c r="E190" s="19" t="n">
        <v>0.588</v>
      </c>
      <c r="F190" s="10" t="n">
        <v>65</v>
      </c>
      <c r="G190" s="20" t="n">
        <v>0.239956365234672</v>
      </c>
      <c r="H190" s="10" t="n">
        <v>36</v>
      </c>
      <c r="I190" s="10" t="n">
        <v>0</v>
      </c>
    </row>
    <row r="191" customFormat="false" ht="15" hidden="false" customHeight="false" outlineLevel="0" collapsed="false">
      <c r="A191" s="10" t="s">
        <v>263</v>
      </c>
      <c r="B191" s="10" t="s">
        <v>76</v>
      </c>
      <c r="C191" s="10" t="s">
        <v>54</v>
      </c>
      <c r="D191" s="18" t="n">
        <v>24650</v>
      </c>
      <c r="E191" s="19" t="n">
        <v>0.301</v>
      </c>
      <c r="F191" s="10" t="n">
        <v>0</v>
      </c>
      <c r="G191" s="20" t="n">
        <v>0.166441191932873</v>
      </c>
      <c r="H191" s="10" t="n">
        <v>60</v>
      </c>
      <c r="I191" s="10" t="n">
        <v>0</v>
      </c>
    </row>
    <row r="192" customFormat="false" ht="15" hidden="false" customHeight="false" outlineLevel="0" collapsed="false">
      <c r="A192" s="10" t="s">
        <v>264</v>
      </c>
      <c r="B192" s="10" t="s">
        <v>53</v>
      </c>
      <c r="C192" s="10" t="s">
        <v>74</v>
      </c>
      <c r="D192" s="18" t="n">
        <v>69409</v>
      </c>
      <c r="E192" s="19" t="n">
        <v>0.05</v>
      </c>
      <c r="F192" s="10" t="n">
        <v>0</v>
      </c>
      <c r="G192" s="20" t="n">
        <v>0.0920503409550539</v>
      </c>
      <c r="H192" s="10" t="n">
        <v>60</v>
      </c>
      <c r="I192" s="10" t="n">
        <v>0</v>
      </c>
    </row>
    <row r="193" customFormat="false" ht="15" hidden="false" customHeight="false" outlineLevel="0" collapsed="false">
      <c r="A193" s="10" t="s">
        <v>265</v>
      </c>
      <c r="B193" s="10" t="s">
        <v>83</v>
      </c>
      <c r="C193" s="10" t="s">
        <v>100</v>
      </c>
      <c r="D193" s="18" t="n">
        <v>302750</v>
      </c>
      <c r="E193" s="19" t="n">
        <v>0.05</v>
      </c>
      <c r="F193" s="10" t="n">
        <v>5</v>
      </c>
      <c r="G193" s="20" t="n">
        <v>0.193241787382882</v>
      </c>
      <c r="H193" s="10" t="n">
        <v>48</v>
      </c>
      <c r="I193" s="10" t="n">
        <v>1</v>
      </c>
    </row>
    <row r="194" customFormat="false" ht="15" hidden="false" customHeight="false" outlineLevel="0" collapsed="false">
      <c r="A194" s="10" t="s">
        <v>266</v>
      </c>
      <c r="B194" s="10" t="s">
        <v>88</v>
      </c>
      <c r="C194" s="10" t="s">
        <v>54</v>
      </c>
      <c r="D194" s="18" t="n">
        <v>71628</v>
      </c>
      <c r="E194" s="19" t="n">
        <v>0.087</v>
      </c>
      <c r="F194" s="10" t="n">
        <v>15</v>
      </c>
      <c r="G194" s="20" t="n">
        <v>0.293744365300352</v>
      </c>
      <c r="H194" s="10" t="n">
        <v>36</v>
      </c>
      <c r="I194" s="10" t="n">
        <v>0</v>
      </c>
    </row>
    <row r="195" customFormat="false" ht="15" hidden="false" customHeight="false" outlineLevel="0" collapsed="false">
      <c r="A195" s="10" t="s">
        <v>267</v>
      </c>
      <c r="B195" s="10" t="s">
        <v>88</v>
      </c>
      <c r="C195" s="10" t="s">
        <v>79</v>
      </c>
      <c r="D195" s="18" t="n">
        <v>245517</v>
      </c>
      <c r="E195" s="19" t="n">
        <v>0.336</v>
      </c>
      <c r="F195" s="10" t="n">
        <v>0</v>
      </c>
      <c r="G195" s="20" t="n">
        <v>0.174667328793241</v>
      </c>
      <c r="H195" s="10" t="n">
        <v>36</v>
      </c>
      <c r="I195" s="10" t="n">
        <v>1</v>
      </c>
    </row>
    <row r="196" customFormat="false" ht="15" hidden="false" customHeight="false" outlineLevel="0" collapsed="false">
      <c r="A196" s="10" t="s">
        <v>268</v>
      </c>
      <c r="B196" s="10" t="s">
        <v>83</v>
      </c>
      <c r="C196" s="10" t="s">
        <v>57</v>
      </c>
      <c r="D196" s="18" t="n">
        <v>28451</v>
      </c>
      <c r="E196" s="19" t="n">
        <v>0.216</v>
      </c>
      <c r="F196" s="10" t="n">
        <v>0</v>
      </c>
      <c r="G196" s="20" t="n">
        <v>0.135569043132623</v>
      </c>
      <c r="H196" s="10" t="n">
        <v>84</v>
      </c>
      <c r="I196" s="10" t="n">
        <v>0</v>
      </c>
    </row>
    <row r="197" customFormat="false" ht="15" hidden="false" customHeight="false" outlineLevel="0" collapsed="false">
      <c r="A197" s="10" t="s">
        <v>269</v>
      </c>
      <c r="B197" s="10" t="s">
        <v>56</v>
      </c>
      <c r="C197" s="10" t="s">
        <v>74</v>
      </c>
      <c r="D197" s="18" t="n">
        <v>79121</v>
      </c>
      <c r="E197" s="19" t="n">
        <v>0.22</v>
      </c>
      <c r="F197" s="10" t="n">
        <v>0</v>
      </c>
      <c r="G197" s="20" t="n">
        <v>0.177127419501315</v>
      </c>
      <c r="H197" s="10" t="n">
        <v>60</v>
      </c>
      <c r="I197" s="10" t="n">
        <v>1</v>
      </c>
    </row>
    <row r="198" customFormat="false" ht="15" hidden="false" customHeight="false" outlineLevel="0" collapsed="false">
      <c r="A198" s="10" t="s">
        <v>270</v>
      </c>
      <c r="B198" s="10" t="s">
        <v>88</v>
      </c>
      <c r="C198" s="10" t="s">
        <v>100</v>
      </c>
      <c r="D198" s="18" t="n">
        <v>16206</v>
      </c>
      <c r="E198" s="19" t="n">
        <v>0.22</v>
      </c>
      <c r="F198" s="10" t="n">
        <v>0</v>
      </c>
      <c r="G198" s="20" t="n">
        <v>0.178720192267506</v>
      </c>
      <c r="H198" s="10" t="n">
        <v>36</v>
      </c>
      <c r="I198" s="10" t="n">
        <v>1</v>
      </c>
    </row>
    <row r="199" customFormat="false" ht="15" hidden="false" customHeight="false" outlineLevel="0" collapsed="false">
      <c r="A199" s="10" t="s">
        <v>271</v>
      </c>
      <c r="B199" s="10" t="s">
        <v>64</v>
      </c>
      <c r="C199" s="10" t="s">
        <v>54</v>
      </c>
      <c r="D199" s="18" t="n">
        <v>127418</v>
      </c>
      <c r="E199" s="19" t="n">
        <v>0.224</v>
      </c>
      <c r="F199" s="10" t="n">
        <v>0</v>
      </c>
      <c r="G199" s="20" t="n">
        <v>0.185275385552741</v>
      </c>
      <c r="H199" s="10" t="n">
        <v>72</v>
      </c>
      <c r="I199" s="10" t="n">
        <v>0</v>
      </c>
    </row>
    <row r="200" customFormat="false" ht="15" hidden="false" customHeight="false" outlineLevel="0" collapsed="false">
      <c r="A200" s="10" t="s">
        <v>272</v>
      </c>
      <c r="B200" s="10" t="s">
        <v>76</v>
      </c>
      <c r="C200" s="10" t="s">
        <v>89</v>
      </c>
      <c r="D200" s="18" t="n">
        <v>51348</v>
      </c>
      <c r="E200" s="19" t="n">
        <v>0.309</v>
      </c>
      <c r="F200" s="10" t="n">
        <v>0</v>
      </c>
      <c r="G200" s="20" t="n">
        <v>0.143154695881645</v>
      </c>
      <c r="H200" s="10" t="n">
        <v>60</v>
      </c>
      <c r="I200" s="10" t="n">
        <v>0</v>
      </c>
    </row>
    <row r="201" customFormat="false" ht="15" hidden="false" customHeight="false" outlineLevel="0" collapsed="false">
      <c r="A201" s="10" t="s">
        <v>273</v>
      </c>
      <c r="B201" s="10" t="s">
        <v>67</v>
      </c>
      <c r="C201" s="10" t="s">
        <v>57</v>
      </c>
      <c r="D201" s="18" t="n">
        <v>80710</v>
      </c>
      <c r="E201" s="19" t="n">
        <v>0.167</v>
      </c>
      <c r="F201" s="10" t="n">
        <v>0</v>
      </c>
      <c r="G201" s="20" t="n">
        <v>0.001</v>
      </c>
      <c r="H201" s="10" t="n">
        <v>72</v>
      </c>
      <c r="I201" s="10" t="n">
        <v>0</v>
      </c>
    </row>
    <row r="202" customFormat="false" ht="15" hidden="false" customHeight="false" outlineLevel="0" collapsed="false">
      <c r="A202" s="10" t="s">
        <v>274</v>
      </c>
      <c r="B202" s="10" t="s">
        <v>76</v>
      </c>
      <c r="C202" s="10" t="s">
        <v>74</v>
      </c>
      <c r="D202" s="18" t="n">
        <v>92891</v>
      </c>
      <c r="E202" s="19" t="n">
        <v>0.259</v>
      </c>
      <c r="F202" s="10" t="n">
        <v>0</v>
      </c>
      <c r="G202" s="20" t="n">
        <v>0.0817365555621041</v>
      </c>
      <c r="H202" s="10" t="n">
        <v>36</v>
      </c>
      <c r="I202" s="10" t="n">
        <v>1</v>
      </c>
    </row>
    <row r="203" customFormat="false" ht="15" hidden="false" customHeight="false" outlineLevel="0" collapsed="false">
      <c r="A203" s="10" t="s">
        <v>275</v>
      </c>
      <c r="B203" s="10" t="s">
        <v>83</v>
      </c>
      <c r="C203" s="10" t="s">
        <v>60</v>
      </c>
      <c r="D203" s="18" t="n">
        <v>329419</v>
      </c>
      <c r="E203" s="19" t="n">
        <v>0.05</v>
      </c>
      <c r="F203" s="10" t="n">
        <v>0</v>
      </c>
      <c r="G203" s="20" t="n">
        <v>0.184309983546509</v>
      </c>
      <c r="H203" s="10" t="n">
        <v>60</v>
      </c>
      <c r="I203" s="10" t="n">
        <v>0</v>
      </c>
    </row>
    <row r="204" customFormat="false" ht="15" hidden="false" customHeight="false" outlineLevel="0" collapsed="false">
      <c r="A204" s="10" t="s">
        <v>276</v>
      </c>
      <c r="B204" s="10" t="s">
        <v>62</v>
      </c>
      <c r="C204" s="10" t="s">
        <v>79</v>
      </c>
      <c r="D204" s="18" t="n">
        <v>55156</v>
      </c>
      <c r="E204" s="19" t="n">
        <v>0.86</v>
      </c>
      <c r="F204" s="10" t="n">
        <v>0</v>
      </c>
      <c r="G204" s="20" t="n">
        <v>0.205198292061513</v>
      </c>
      <c r="H204" s="10" t="n">
        <v>48</v>
      </c>
      <c r="I204" s="10" t="n">
        <v>1</v>
      </c>
    </row>
    <row r="205" customFormat="false" ht="15" hidden="false" customHeight="false" outlineLevel="0" collapsed="false">
      <c r="A205" s="10" t="s">
        <v>277</v>
      </c>
      <c r="B205" s="10" t="s">
        <v>67</v>
      </c>
      <c r="C205" s="10" t="s">
        <v>89</v>
      </c>
      <c r="D205" s="18" t="n">
        <v>192516</v>
      </c>
      <c r="E205" s="19" t="n">
        <v>0.29</v>
      </c>
      <c r="F205" s="10" t="n">
        <v>0</v>
      </c>
      <c r="G205" s="20" t="n">
        <v>0.390133270088925</v>
      </c>
      <c r="H205" s="10" t="n">
        <v>72</v>
      </c>
      <c r="I205" s="10" t="n">
        <v>1</v>
      </c>
    </row>
    <row r="206" customFormat="false" ht="15" hidden="false" customHeight="false" outlineLevel="0" collapsed="false">
      <c r="A206" s="10" t="s">
        <v>278</v>
      </c>
      <c r="B206" s="10" t="s">
        <v>56</v>
      </c>
      <c r="C206" s="10" t="s">
        <v>57</v>
      </c>
      <c r="D206" s="18" t="n">
        <v>22263</v>
      </c>
      <c r="E206" s="19" t="n">
        <v>0.326</v>
      </c>
      <c r="F206" s="10" t="n">
        <v>0</v>
      </c>
      <c r="G206" s="20" t="n">
        <v>0.122469669299737</v>
      </c>
      <c r="H206" s="10" t="n">
        <v>36</v>
      </c>
      <c r="I206" s="10" t="n">
        <v>0</v>
      </c>
    </row>
    <row r="207" customFormat="false" ht="15" hidden="false" customHeight="false" outlineLevel="0" collapsed="false">
      <c r="A207" s="10" t="s">
        <v>279</v>
      </c>
      <c r="B207" s="10" t="s">
        <v>88</v>
      </c>
      <c r="C207" s="10" t="s">
        <v>98</v>
      </c>
      <c r="D207" s="18" t="n">
        <v>227498</v>
      </c>
      <c r="E207" s="19" t="n">
        <v>0.409</v>
      </c>
      <c r="F207" s="10" t="n">
        <v>0</v>
      </c>
      <c r="G207" s="20" t="n">
        <v>0.0553529876905065</v>
      </c>
      <c r="H207" s="10" t="n">
        <v>60</v>
      </c>
      <c r="I207" s="10" t="n">
        <v>0</v>
      </c>
    </row>
    <row r="208" customFormat="false" ht="15" hidden="false" customHeight="false" outlineLevel="0" collapsed="false">
      <c r="A208" s="10" t="s">
        <v>280</v>
      </c>
      <c r="B208" s="10" t="s">
        <v>56</v>
      </c>
      <c r="C208" s="10" t="s">
        <v>72</v>
      </c>
      <c r="D208" s="18" t="n">
        <v>19870</v>
      </c>
      <c r="E208" s="19" t="n">
        <v>0.258</v>
      </c>
      <c r="F208" s="10" t="n">
        <v>5</v>
      </c>
      <c r="G208" s="20" t="n">
        <v>0.212632872897882</v>
      </c>
      <c r="H208" s="10" t="n">
        <v>36</v>
      </c>
      <c r="I208" s="10" t="n">
        <v>0</v>
      </c>
    </row>
    <row r="209" customFormat="false" ht="15" hidden="false" customHeight="false" outlineLevel="0" collapsed="false">
      <c r="A209" s="10" t="s">
        <v>281</v>
      </c>
      <c r="B209" s="10" t="s">
        <v>76</v>
      </c>
      <c r="C209" s="10" t="s">
        <v>54</v>
      </c>
      <c r="D209" s="18" t="n">
        <v>61823</v>
      </c>
      <c r="E209" s="19" t="n">
        <v>0.788</v>
      </c>
      <c r="F209" s="10" t="n">
        <v>5</v>
      </c>
      <c r="G209" s="20" t="n">
        <v>0.229028813767395</v>
      </c>
      <c r="H209" s="10" t="n">
        <v>48</v>
      </c>
      <c r="I209" s="10" t="n">
        <v>0</v>
      </c>
    </row>
    <row r="210" customFormat="false" ht="15" hidden="false" customHeight="false" outlineLevel="0" collapsed="false">
      <c r="A210" s="10" t="s">
        <v>282</v>
      </c>
      <c r="B210" s="10" t="s">
        <v>67</v>
      </c>
      <c r="C210" s="10" t="s">
        <v>54</v>
      </c>
      <c r="D210" s="18" t="n">
        <v>133069</v>
      </c>
      <c r="E210" s="19" t="n">
        <v>0.546</v>
      </c>
      <c r="F210" s="10" t="n">
        <v>0</v>
      </c>
      <c r="G210" s="20" t="n">
        <v>0.283005524896931</v>
      </c>
      <c r="H210" s="10" t="n">
        <v>84</v>
      </c>
      <c r="I210" s="10" t="n">
        <v>0</v>
      </c>
    </row>
    <row r="211" customFormat="false" ht="15" hidden="false" customHeight="false" outlineLevel="0" collapsed="false">
      <c r="A211" s="10" t="s">
        <v>283</v>
      </c>
      <c r="B211" s="10" t="s">
        <v>53</v>
      </c>
      <c r="C211" s="10" t="s">
        <v>54</v>
      </c>
      <c r="D211" s="18" t="n">
        <v>22795</v>
      </c>
      <c r="E211" s="19" t="n">
        <v>0.397</v>
      </c>
      <c r="F211" s="10" t="n">
        <v>0</v>
      </c>
      <c r="G211" s="20" t="n">
        <v>0.212902334162031</v>
      </c>
      <c r="H211" s="10" t="n">
        <v>120</v>
      </c>
      <c r="I211" s="10" t="n">
        <v>0</v>
      </c>
    </row>
    <row r="212" customFormat="false" ht="15" hidden="false" customHeight="false" outlineLevel="0" collapsed="false">
      <c r="A212" s="10" t="s">
        <v>284</v>
      </c>
      <c r="B212" s="10" t="s">
        <v>64</v>
      </c>
      <c r="C212" s="10" t="s">
        <v>72</v>
      </c>
      <c r="D212" s="18" t="n">
        <v>25674</v>
      </c>
      <c r="E212" s="19" t="n">
        <v>0.301</v>
      </c>
      <c r="F212" s="10" t="n">
        <v>0</v>
      </c>
      <c r="G212" s="20" t="n">
        <v>0.134714297273463</v>
      </c>
      <c r="H212" s="10" t="n">
        <v>60</v>
      </c>
      <c r="I212" s="10" t="n">
        <v>0</v>
      </c>
    </row>
    <row r="213" customFormat="false" ht="15" hidden="false" customHeight="false" outlineLevel="0" collapsed="false">
      <c r="A213" s="10" t="s">
        <v>285</v>
      </c>
      <c r="B213" s="10" t="s">
        <v>69</v>
      </c>
      <c r="C213" s="10" t="s">
        <v>77</v>
      </c>
      <c r="D213" s="18" t="n">
        <v>484159</v>
      </c>
      <c r="E213" s="19" t="n">
        <v>0.309</v>
      </c>
      <c r="F213" s="10" t="n">
        <v>0</v>
      </c>
      <c r="G213" s="20" t="n">
        <v>0.142239527177466</v>
      </c>
      <c r="H213" s="10" t="n">
        <v>36</v>
      </c>
      <c r="I213" s="10" t="n">
        <v>0</v>
      </c>
    </row>
    <row r="214" customFormat="false" ht="15" hidden="false" customHeight="false" outlineLevel="0" collapsed="false">
      <c r="A214" s="10" t="s">
        <v>286</v>
      </c>
      <c r="B214" s="10" t="s">
        <v>76</v>
      </c>
      <c r="C214" s="10" t="s">
        <v>74</v>
      </c>
      <c r="D214" s="18" t="n">
        <v>38635</v>
      </c>
      <c r="E214" s="19" t="n">
        <v>0.346</v>
      </c>
      <c r="F214" s="10" t="n">
        <v>0</v>
      </c>
      <c r="G214" s="20" t="n">
        <v>0.162072485303334</v>
      </c>
      <c r="H214" s="10" t="n">
        <v>48</v>
      </c>
      <c r="I214" s="10" t="n">
        <v>0</v>
      </c>
    </row>
    <row r="215" customFormat="false" ht="15" hidden="false" customHeight="false" outlineLevel="0" collapsed="false">
      <c r="A215" s="10" t="s">
        <v>287</v>
      </c>
      <c r="B215" s="10" t="s">
        <v>59</v>
      </c>
      <c r="C215" s="10" t="s">
        <v>54</v>
      </c>
      <c r="D215" s="18" t="n">
        <v>45646</v>
      </c>
      <c r="E215" s="19" t="n">
        <v>0.323</v>
      </c>
      <c r="F215" s="10" t="n">
        <v>0</v>
      </c>
      <c r="G215" s="20" t="n">
        <v>0.149752215156103</v>
      </c>
      <c r="H215" s="10" t="n">
        <v>60</v>
      </c>
      <c r="I215" s="10" t="n">
        <v>0</v>
      </c>
    </row>
    <row r="216" customFormat="false" ht="15" hidden="false" customHeight="false" outlineLevel="0" collapsed="false">
      <c r="A216" s="10" t="s">
        <v>288</v>
      </c>
      <c r="B216" s="10" t="s">
        <v>69</v>
      </c>
      <c r="C216" s="10" t="s">
        <v>81</v>
      </c>
      <c r="D216" s="18" t="n">
        <v>64535</v>
      </c>
      <c r="E216" s="19" t="n">
        <v>0.249</v>
      </c>
      <c r="F216" s="10" t="n">
        <v>0</v>
      </c>
      <c r="G216" s="20" t="n">
        <v>0.0397549083117652</v>
      </c>
      <c r="H216" s="10" t="n">
        <v>36</v>
      </c>
      <c r="I216" s="10" t="n">
        <v>0</v>
      </c>
    </row>
    <row r="217" customFormat="false" ht="15" hidden="false" customHeight="false" outlineLevel="0" collapsed="false">
      <c r="A217" s="10" t="s">
        <v>289</v>
      </c>
      <c r="B217" s="10" t="s">
        <v>59</v>
      </c>
      <c r="C217" s="10" t="s">
        <v>89</v>
      </c>
      <c r="D217" s="18" t="n">
        <v>71857</v>
      </c>
      <c r="E217" s="19" t="n">
        <v>0.363</v>
      </c>
      <c r="F217" s="10" t="n">
        <v>0</v>
      </c>
      <c r="G217" s="20" t="n">
        <v>0.153519676306956</v>
      </c>
      <c r="H217" s="10" t="n">
        <v>84</v>
      </c>
      <c r="I217" s="10" t="n">
        <v>0</v>
      </c>
    </row>
    <row r="218" customFormat="false" ht="15" hidden="false" customHeight="false" outlineLevel="0" collapsed="false">
      <c r="A218" s="10" t="s">
        <v>290</v>
      </c>
      <c r="B218" s="10" t="s">
        <v>76</v>
      </c>
      <c r="C218" s="10" t="s">
        <v>74</v>
      </c>
      <c r="D218" s="18" t="n">
        <v>53471</v>
      </c>
      <c r="E218" s="19" t="n">
        <v>0.163</v>
      </c>
      <c r="F218" s="10" t="n">
        <v>0</v>
      </c>
      <c r="G218" s="20" t="n">
        <v>0.177969478670764</v>
      </c>
      <c r="H218" s="10" t="n">
        <v>72</v>
      </c>
      <c r="I218" s="10" t="n">
        <v>0</v>
      </c>
    </row>
    <row r="219" customFormat="false" ht="15" hidden="false" customHeight="false" outlineLevel="0" collapsed="false">
      <c r="A219" s="10" t="s">
        <v>291</v>
      </c>
      <c r="B219" s="10" t="s">
        <v>62</v>
      </c>
      <c r="C219" s="10" t="s">
        <v>100</v>
      </c>
      <c r="D219" s="18" t="n">
        <v>80737</v>
      </c>
      <c r="E219" s="19" t="n">
        <v>0.099</v>
      </c>
      <c r="F219" s="10" t="n">
        <v>0</v>
      </c>
      <c r="G219" s="20" t="n">
        <v>0.125226824251408</v>
      </c>
      <c r="H219" s="10" t="n">
        <v>84</v>
      </c>
      <c r="I219" s="10" t="n">
        <v>0</v>
      </c>
    </row>
    <row r="220" customFormat="false" ht="15" hidden="false" customHeight="false" outlineLevel="0" collapsed="false">
      <c r="A220" s="10" t="s">
        <v>292</v>
      </c>
      <c r="B220" s="10" t="s">
        <v>88</v>
      </c>
      <c r="C220" s="10" t="s">
        <v>60</v>
      </c>
      <c r="D220" s="18" t="n">
        <v>173059</v>
      </c>
      <c r="E220" s="19" t="n">
        <v>0.776</v>
      </c>
      <c r="F220" s="10" t="n">
        <v>0</v>
      </c>
      <c r="G220" s="20" t="n">
        <v>0.40379679046041</v>
      </c>
      <c r="H220" s="10" t="n">
        <v>48</v>
      </c>
      <c r="I220" s="10" t="n">
        <v>1</v>
      </c>
    </row>
    <row r="221" customFormat="false" ht="15" hidden="false" customHeight="false" outlineLevel="0" collapsed="false">
      <c r="A221" s="10" t="s">
        <v>293</v>
      </c>
      <c r="B221" s="10" t="s">
        <v>59</v>
      </c>
      <c r="C221" s="10" t="s">
        <v>100</v>
      </c>
      <c r="D221" s="18" t="n">
        <v>34207</v>
      </c>
      <c r="E221" s="19" t="n">
        <v>0.92</v>
      </c>
      <c r="F221" s="10" t="n">
        <v>0</v>
      </c>
      <c r="G221" s="20" t="n">
        <v>0.001</v>
      </c>
      <c r="H221" s="10" t="n">
        <v>36</v>
      </c>
      <c r="I221" s="10" t="n">
        <v>0</v>
      </c>
    </row>
    <row r="222" customFormat="false" ht="15" hidden="false" customHeight="false" outlineLevel="0" collapsed="false">
      <c r="A222" s="10" t="s">
        <v>294</v>
      </c>
      <c r="B222" s="10" t="s">
        <v>83</v>
      </c>
      <c r="C222" s="10" t="s">
        <v>60</v>
      </c>
      <c r="D222" s="18" t="n">
        <v>17342</v>
      </c>
      <c r="E222" s="19" t="n">
        <v>0.327</v>
      </c>
      <c r="F222" s="10" t="n">
        <v>0</v>
      </c>
      <c r="G222" s="20" t="n">
        <v>0.185334022364428</v>
      </c>
      <c r="H222" s="10" t="n">
        <v>72</v>
      </c>
      <c r="I222" s="10" t="n">
        <v>0</v>
      </c>
    </row>
    <row r="223" customFormat="false" ht="15" hidden="false" customHeight="false" outlineLevel="0" collapsed="false">
      <c r="A223" s="10" t="s">
        <v>295</v>
      </c>
      <c r="B223" s="10" t="s">
        <v>59</v>
      </c>
      <c r="C223" s="10" t="s">
        <v>100</v>
      </c>
      <c r="D223" s="18" t="n">
        <v>24293</v>
      </c>
      <c r="E223" s="19" t="n">
        <v>0.245</v>
      </c>
      <c r="F223" s="10" t="n">
        <v>0</v>
      </c>
      <c r="G223" s="20" t="n">
        <v>0.0975442630217021</v>
      </c>
      <c r="H223" s="10" t="n">
        <v>48</v>
      </c>
      <c r="I223" s="10" t="n">
        <v>0</v>
      </c>
    </row>
    <row r="224" customFormat="false" ht="15" hidden="false" customHeight="false" outlineLevel="0" collapsed="false">
      <c r="A224" s="10" t="s">
        <v>296</v>
      </c>
      <c r="B224" s="10" t="s">
        <v>53</v>
      </c>
      <c r="C224" s="10" t="s">
        <v>60</v>
      </c>
      <c r="D224" s="18" t="n">
        <v>32017</v>
      </c>
      <c r="E224" s="19" t="n">
        <v>0.782</v>
      </c>
      <c r="F224" s="10" t="n">
        <v>0</v>
      </c>
      <c r="G224" s="20" t="n">
        <v>0.241497821754119</v>
      </c>
      <c r="H224" s="10" t="n">
        <v>12</v>
      </c>
      <c r="I224" s="10" t="n">
        <v>1</v>
      </c>
    </row>
    <row r="225" customFormat="false" ht="15" hidden="false" customHeight="false" outlineLevel="0" collapsed="false">
      <c r="A225" s="10" t="s">
        <v>297</v>
      </c>
      <c r="B225" s="10" t="s">
        <v>62</v>
      </c>
      <c r="C225" s="10" t="s">
        <v>100</v>
      </c>
      <c r="D225" s="18" t="n">
        <v>81525</v>
      </c>
      <c r="E225" s="19" t="n">
        <v>0.404</v>
      </c>
      <c r="F225" s="10" t="n">
        <v>0</v>
      </c>
      <c r="G225" s="20" t="n">
        <v>0.0731443125837647</v>
      </c>
      <c r="H225" s="10" t="n">
        <v>60</v>
      </c>
      <c r="I225" s="10" t="n">
        <v>0</v>
      </c>
    </row>
    <row r="226" customFormat="false" ht="15" hidden="false" customHeight="false" outlineLevel="0" collapsed="false">
      <c r="A226" s="10" t="s">
        <v>298</v>
      </c>
      <c r="B226" s="10" t="s">
        <v>53</v>
      </c>
      <c r="C226" s="10" t="s">
        <v>60</v>
      </c>
      <c r="D226" s="18" t="n">
        <v>10292</v>
      </c>
      <c r="E226" s="19" t="n">
        <v>0.231</v>
      </c>
      <c r="F226" s="10" t="n">
        <v>0</v>
      </c>
      <c r="G226" s="20" t="n">
        <v>0.132838926406462</v>
      </c>
      <c r="H226" s="10" t="n">
        <v>36</v>
      </c>
      <c r="I226" s="10" t="n">
        <v>0</v>
      </c>
    </row>
    <row r="227" customFormat="false" ht="15" hidden="false" customHeight="false" outlineLevel="0" collapsed="false">
      <c r="A227" s="10" t="s">
        <v>299</v>
      </c>
      <c r="B227" s="10" t="s">
        <v>53</v>
      </c>
      <c r="C227" s="10" t="s">
        <v>74</v>
      </c>
      <c r="D227" s="18" t="n">
        <v>95516</v>
      </c>
      <c r="E227" s="19" t="n">
        <v>0.166</v>
      </c>
      <c r="F227" s="10" t="n">
        <v>0</v>
      </c>
      <c r="G227" s="20" t="n">
        <v>0.04802617923643</v>
      </c>
      <c r="H227" s="10" t="n">
        <v>72</v>
      </c>
      <c r="I227" s="10" t="n">
        <v>0</v>
      </c>
    </row>
    <row r="228" customFormat="false" ht="15" hidden="false" customHeight="false" outlineLevel="0" collapsed="false">
      <c r="A228" s="10" t="s">
        <v>300</v>
      </c>
      <c r="B228" s="10" t="s">
        <v>67</v>
      </c>
      <c r="C228" s="10" t="s">
        <v>54</v>
      </c>
      <c r="D228" s="18" t="n">
        <v>16507</v>
      </c>
      <c r="E228" s="19" t="n">
        <v>0.643</v>
      </c>
      <c r="F228" s="10" t="n">
        <v>0</v>
      </c>
      <c r="G228" s="20" t="n">
        <v>0.104962084853708</v>
      </c>
      <c r="H228" s="10" t="n">
        <v>60</v>
      </c>
      <c r="I228" s="10" t="n">
        <v>0</v>
      </c>
    </row>
    <row r="229" customFormat="false" ht="15" hidden="false" customHeight="false" outlineLevel="0" collapsed="false">
      <c r="A229" s="10" t="s">
        <v>301</v>
      </c>
      <c r="B229" s="10" t="s">
        <v>76</v>
      </c>
      <c r="C229" s="10" t="s">
        <v>89</v>
      </c>
      <c r="D229" s="18" t="n">
        <v>54634</v>
      </c>
      <c r="E229" s="19" t="n">
        <v>0.337</v>
      </c>
      <c r="F229" s="10" t="n">
        <v>65</v>
      </c>
      <c r="G229" s="20" t="n">
        <v>0.0994837943652202</v>
      </c>
      <c r="H229" s="10" t="n">
        <v>48</v>
      </c>
      <c r="I229" s="10" t="n">
        <v>0</v>
      </c>
    </row>
    <row r="230" customFormat="false" ht="15" hidden="false" customHeight="false" outlineLevel="0" collapsed="false">
      <c r="A230" s="10" t="s">
        <v>302</v>
      </c>
      <c r="B230" s="10" t="s">
        <v>67</v>
      </c>
      <c r="C230" s="10" t="s">
        <v>57</v>
      </c>
      <c r="D230" s="18" t="n">
        <v>182681</v>
      </c>
      <c r="E230" s="19" t="n">
        <v>0.354</v>
      </c>
      <c r="F230" s="10" t="n">
        <v>0</v>
      </c>
      <c r="G230" s="20" t="n">
        <v>0.0736720106969026</v>
      </c>
      <c r="H230" s="10" t="n">
        <v>48</v>
      </c>
      <c r="I230" s="10" t="n">
        <v>0</v>
      </c>
    </row>
    <row r="231" customFormat="false" ht="15" hidden="false" customHeight="false" outlineLevel="0" collapsed="false">
      <c r="A231" s="10" t="s">
        <v>303</v>
      </c>
      <c r="B231" s="10" t="s">
        <v>64</v>
      </c>
      <c r="C231" s="10" t="s">
        <v>60</v>
      </c>
      <c r="D231" s="18" t="n">
        <v>32463</v>
      </c>
      <c r="E231" s="19" t="n">
        <v>0.292</v>
      </c>
      <c r="F231" s="10" t="n">
        <v>0</v>
      </c>
      <c r="G231" s="20" t="n">
        <v>0.0879804161987278</v>
      </c>
      <c r="H231" s="10" t="n">
        <v>24</v>
      </c>
      <c r="I231" s="10" t="n">
        <v>0</v>
      </c>
    </row>
    <row r="232" customFormat="false" ht="15" hidden="false" customHeight="false" outlineLevel="0" collapsed="false">
      <c r="A232" s="10" t="s">
        <v>304</v>
      </c>
      <c r="B232" s="10" t="s">
        <v>83</v>
      </c>
      <c r="C232" s="10" t="s">
        <v>60</v>
      </c>
      <c r="D232" s="18" t="n">
        <v>108576</v>
      </c>
      <c r="E232" s="19" t="n">
        <v>0.239</v>
      </c>
      <c r="F232" s="10" t="n">
        <v>5</v>
      </c>
      <c r="G232" s="20" t="n">
        <v>0.155492924967336</v>
      </c>
      <c r="H232" s="10" t="n">
        <v>48</v>
      </c>
      <c r="I232" s="10" t="n">
        <v>0</v>
      </c>
    </row>
    <row r="233" customFormat="false" ht="15" hidden="false" customHeight="false" outlineLevel="0" collapsed="false">
      <c r="A233" s="10" t="s">
        <v>305</v>
      </c>
      <c r="B233" s="10" t="s">
        <v>56</v>
      </c>
      <c r="C233" s="10" t="s">
        <v>72</v>
      </c>
      <c r="D233" s="18" t="n">
        <v>23425</v>
      </c>
      <c r="E233" s="19" t="n">
        <v>0.528</v>
      </c>
      <c r="F233" s="10" t="n">
        <v>0</v>
      </c>
      <c r="G233" s="20" t="n">
        <v>0.240539282724707</v>
      </c>
      <c r="H233" s="10" t="n">
        <v>84</v>
      </c>
      <c r="I233" s="10" t="n">
        <v>0</v>
      </c>
    </row>
    <row r="234" customFormat="false" ht="15" hidden="false" customHeight="false" outlineLevel="0" collapsed="false">
      <c r="A234" s="10" t="s">
        <v>306</v>
      </c>
      <c r="B234" s="10" t="s">
        <v>69</v>
      </c>
      <c r="C234" s="10" t="s">
        <v>72</v>
      </c>
      <c r="D234" s="18" t="n">
        <v>54260</v>
      </c>
      <c r="E234" s="19" t="n">
        <v>0.142</v>
      </c>
      <c r="F234" s="10" t="n">
        <v>0</v>
      </c>
      <c r="G234" s="20" t="n">
        <v>0.105429402278842</v>
      </c>
      <c r="H234" s="10" t="n">
        <v>36</v>
      </c>
      <c r="I234" s="10" t="n">
        <v>0</v>
      </c>
    </row>
    <row r="235" customFormat="false" ht="15" hidden="false" customHeight="false" outlineLevel="0" collapsed="false">
      <c r="A235" s="10" t="s">
        <v>307</v>
      </c>
      <c r="B235" s="10" t="s">
        <v>64</v>
      </c>
      <c r="C235" s="10" t="s">
        <v>81</v>
      </c>
      <c r="D235" s="18" t="n">
        <v>87881</v>
      </c>
      <c r="E235" s="19" t="n">
        <v>0.295</v>
      </c>
      <c r="F235" s="10" t="n">
        <v>0</v>
      </c>
      <c r="G235" s="20" t="n">
        <v>0.256584202460052</v>
      </c>
      <c r="H235" s="10" t="n">
        <v>84</v>
      </c>
      <c r="I235" s="10" t="n">
        <v>1</v>
      </c>
    </row>
    <row r="236" customFormat="false" ht="15" hidden="false" customHeight="false" outlineLevel="0" collapsed="false">
      <c r="A236" s="10" t="s">
        <v>308</v>
      </c>
      <c r="B236" s="10" t="s">
        <v>62</v>
      </c>
      <c r="C236" s="10" t="s">
        <v>74</v>
      </c>
      <c r="D236" s="18" t="n">
        <v>452034</v>
      </c>
      <c r="E236" s="19" t="n">
        <v>0.227</v>
      </c>
      <c r="F236" s="10" t="n">
        <v>0</v>
      </c>
      <c r="G236" s="20" t="n">
        <v>0.214025929727343</v>
      </c>
      <c r="H236" s="10" t="n">
        <v>84</v>
      </c>
      <c r="I236" s="10" t="n">
        <v>0</v>
      </c>
    </row>
    <row r="237" customFormat="false" ht="15" hidden="false" customHeight="false" outlineLevel="0" collapsed="false">
      <c r="A237" s="10" t="s">
        <v>309</v>
      </c>
      <c r="B237" s="10" t="s">
        <v>88</v>
      </c>
      <c r="C237" s="10" t="s">
        <v>74</v>
      </c>
      <c r="D237" s="18" t="n">
        <v>116243</v>
      </c>
      <c r="E237" s="19" t="n">
        <v>0.208</v>
      </c>
      <c r="F237" s="10" t="n">
        <v>0</v>
      </c>
      <c r="G237" s="20" t="n">
        <v>0.12157874622394</v>
      </c>
      <c r="H237" s="10" t="n">
        <v>60</v>
      </c>
      <c r="I237" s="10" t="n">
        <v>0</v>
      </c>
    </row>
    <row r="238" customFormat="false" ht="15" hidden="false" customHeight="false" outlineLevel="0" collapsed="false">
      <c r="A238" s="10" t="s">
        <v>310</v>
      </c>
      <c r="B238" s="10" t="s">
        <v>59</v>
      </c>
      <c r="C238" s="10" t="s">
        <v>54</v>
      </c>
      <c r="D238" s="18" t="n">
        <v>81347</v>
      </c>
      <c r="E238" s="19" t="n">
        <v>0.158</v>
      </c>
      <c r="F238" s="10" t="n">
        <v>0</v>
      </c>
      <c r="G238" s="20" t="n">
        <v>0.0085791243912128</v>
      </c>
      <c r="H238" s="10" t="n">
        <v>120</v>
      </c>
      <c r="I238" s="10" t="n">
        <v>0</v>
      </c>
    </row>
    <row r="239" customFormat="false" ht="15" hidden="false" customHeight="false" outlineLevel="0" collapsed="false">
      <c r="A239" s="10" t="s">
        <v>311</v>
      </c>
      <c r="B239" s="10" t="s">
        <v>62</v>
      </c>
      <c r="C239" s="10" t="s">
        <v>81</v>
      </c>
      <c r="D239" s="18" t="n">
        <v>15737</v>
      </c>
      <c r="E239" s="19" t="n">
        <v>0.179</v>
      </c>
      <c r="F239" s="10" t="n">
        <v>0</v>
      </c>
      <c r="G239" s="20" t="n">
        <v>0.0631793200474027</v>
      </c>
      <c r="H239" s="10" t="n">
        <v>84</v>
      </c>
      <c r="I239" s="10" t="n">
        <v>0</v>
      </c>
    </row>
    <row r="240" customFormat="false" ht="15" hidden="false" customHeight="false" outlineLevel="0" collapsed="false">
      <c r="A240" s="10" t="s">
        <v>312</v>
      </c>
      <c r="B240" s="10" t="s">
        <v>76</v>
      </c>
      <c r="C240" s="10" t="s">
        <v>54</v>
      </c>
      <c r="D240" s="18" t="n">
        <v>92601</v>
      </c>
      <c r="E240" s="19" t="n">
        <v>0.157</v>
      </c>
      <c r="F240" s="10" t="n">
        <v>0</v>
      </c>
      <c r="G240" s="20" t="n">
        <v>0.001</v>
      </c>
      <c r="H240" s="10" t="n">
        <v>36</v>
      </c>
      <c r="I240" s="10" t="n">
        <v>0</v>
      </c>
    </row>
    <row r="241" customFormat="false" ht="15" hidden="false" customHeight="false" outlineLevel="0" collapsed="false">
      <c r="A241" s="10" t="s">
        <v>313</v>
      </c>
      <c r="B241" s="10" t="s">
        <v>56</v>
      </c>
      <c r="C241" s="10" t="s">
        <v>100</v>
      </c>
      <c r="D241" s="18" t="n">
        <v>70353</v>
      </c>
      <c r="E241" s="19" t="n">
        <v>0.375</v>
      </c>
      <c r="F241" s="10" t="n">
        <v>0</v>
      </c>
      <c r="G241" s="20" t="n">
        <v>0.208314066578005</v>
      </c>
      <c r="H241" s="10" t="n">
        <v>36</v>
      </c>
      <c r="I241" s="10" t="n">
        <v>1</v>
      </c>
    </row>
    <row r="242" customFormat="false" ht="15" hidden="false" customHeight="false" outlineLevel="0" collapsed="false">
      <c r="A242" s="10" t="s">
        <v>314</v>
      </c>
      <c r="B242" s="10" t="s">
        <v>56</v>
      </c>
      <c r="C242" s="10" t="s">
        <v>54</v>
      </c>
      <c r="D242" s="18" t="n">
        <v>130868</v>
      </c>
      <c r="E242" s="19" t="n">
        <v>0.198</v>
      </c>
      <c r="F242" s="10" t="n">
        <v>5</v>
      </c>
      <c r="G242" s="20" t="n">
        <v>0.14463688328198</v>
      </c>
      <c r="H242" s="10" t="n">
        <v>72</v>
      </c>
      <c r="I242" s="10" t="n">
        <v>0</v>
      </c>
    </row>
    <row r="243" customFormat="false" ht="15" hidden="false" customHeight="false" outlineLevel="0" collapsed="false">
      <c r="A243" s="10" t="s">
        <v>315</v>
      </c>
      <c r="B243" s="10" t="s">
        <v>53</v>
      </c>
      <c r="C243" s="10" t="s">
        <v>54</v>
      </c>
      <c r="D243" s="18" t="n">
        <v>160772</v>
      </c>
      <c r="E243" s="19" t="n">
        <v>0.492</v>
      </c>
      <c r="F243" s="10" t="n">
        <v>0</v>
      </c>
      <c r="G243" s="20" t="n">
        <v>0.0138237858111218</v>
      </c>
      <c r="H243" s="10" t="n">
        <v>120</v>
      </c>
      <c r="I243" s="10" t="n">
        <v>0</v>
      </c>
    </row>
    <row r="244" customFormat="false" ht="15" hidden="false" customHeight="false" outlineLevel="0" collapsed="false">
      <c r="A244" s="10" t="s">
        <v>316</v>
      </c>
      <c r="B244" s="10" t="s">
        <v>88</v>
      </c>
      <c r="C244" s="10" t="s">
        <v>74</v>
      </c>
      <c r="D244" s="18" t="n">
        <v>191186</v>
      </c>
      <c r="E244" s="19" t="n">
        <v>0.14</v>
      </c>
      <c r="F244" s="10" t="n">
        <v>0</v>
      </c>
      <c r="G244" s="20" t="n">
        <v>0.249978004704299</v>
      </c>
      <c r="H244" s="10" t="n">
        <v>48</v>
      </c>
      <c r="I244" s="10" t="n">
        <v>0</v>
      </c>
    </row>
    <row r="245" customFormat="false" ht="15" hidden="false" customHeight="false" outlineLevel="0" collapsed="false">
      <c r="A245" s="10" t="s">
        <v>317</v>
      </c>
      <c r="B245" s="10" t="s">
        <v>56</v>
      </c>
      <c r="C245" s="10" t="s">
        <v>100</v>
      </c>
      <c r="D245" s="18" t="n">
        <v>218234</v>
      </c>
      <c r="E245" s="19" t="n">
        <v>0.69</v>
      </c>
      <c r="F245" s="10" t="n">
        <v>0</v>
      </c>
      <c r="G245" s="20" t="n">
        <v>0.156862425667296</v>
      </c>
      <c r="H245" s="10" t="n">
        <v>12</v>
      </c>
      <c r="I245" s="10" t="n">
        <v>0</v>
      </c>
    </row>
    <row r="246" customFormat="false" ht="15" hidden="false" customHeight="false" outlineLevel="0" collapsed="false">
      <c r="A246" s="10" t="s">
        <v>318</v>
      </c>
      <c r="B246" s="10" t="s">
        <v>67</v>
      </c>
      <c r="C246" s="10" t="s">
        <v>98</v>
      </c>
      <c r="D246" s="18" t="n">
        <v>81550</v>
      </c>
      <c r="E246" s="19" t="n">
        <v>0.461</v>
      </c>
      <c r="F246" s="10" t="n">
        <v>0</v>
      </c>
      <c r="G246" s="20" t="n">
        <v>0.108690949004323</v>
      </c>
      <c r="H246" s="10" t="n">
        <v>48</v>
      </c>
      <c r="I246" s="10" t="n">
        <v>0</v>
      </c>
    </row>
    <row r="247" customFormat="false" ht="15" hidden="false" customHeight="false" outlineLevel="0" collapsed="false">
      <c r="A247" s="10" t="s">
        <v>319</v>
      </c>
      <c r="B247" s="10" t="s">
        <v>59</v>
      </c>
      <c r="C247" s="10" t="s">
        <v>72</v>
      </c>
      <c r="D247" s="18" t="n">
        <v>15679</v>
      </c>
      <c r="E247" s="19" t="n">
        <v>0.358</v>
      </c>
      <c r="F247" s="10" t="n">
        <v>0</v>
      </c>
      <c r="G247" s="20" t="n">
        <v>0.150079670880923</v>
      </c>
      <c r="H247" s="10" t="n">
        <v>84</v>
      </c>
      <c r="I247" s="10" t="n">
        <v>0</v>
      </c>
    </row>
    <row r="248" customFormat="false" ht="15" hidden="false" customHeight="false" outlineLevel="0" collapsed="false">
      <c r="A248" s="10" t="s">
        <v>320</v>
      </c>
      <c r="B248" s="10" t="s">
        <v>69</v>
      </c>
      <c r="C248" s="10" t="s">
        <v>74</v>
      </c>
      <c r="D248" s="18" t="n">
        <v>56427</v>
      </c>
      <c r="E248" s="19" t="n">
        <v>0.825</v>
      </c>
      <c r="F248" s="10" t="n">
        <v>0</v>
      </c>
      <c r="G248" s="20" t="n">
        <v>0.176241690304231</v>
      </c>
      <c r="H248" s="10" t="n">
        <v>36</v>
      </c>
      <c r="I248" s="10" t="n">
        <v>0</v>
      </c>
    </row>
    <row r="249" customFormat="false" ht="15" hidden="false" customHeight="false" outlineLevel="0" collapsed="false">
      <c r="A249" s="10" t="s">
        <v>321</v>
      </c>
      <c r="B249" s="10" t="s">
        <v>62</v>
      </c>
      <c r="C249" s="10" t="s">
        <v>81</v>
      </c>
      <c r="D249" s="18" t="n">
        <v>100968</v>
      </c>
      <c r="E249" s="19" t="n">
        <v>0.659</v>
      </c>
      <c r="F249" s="10" t="n">
        <v>0</v>
      </c>
      <c r="G249" s="20" t="n">
        <v>0.0919300555637299</v>
      </c>
      <c r="H249" s="10" t="n">
        <v>84</v>
      </c>
      <c r="I249" s="10" t="n">
        <v>0</v>
      </c>
    </row>
    <row r="250" customFormat="false" ht="15" hidden="false" customHeight="false" outlineLevel="0" collapsed="false">
      <c r="A250" s="10" t="s">
        <v>322</v>
      </c>
      <c r="B250" s="10" t="s">
        <v>67</v>
      </c>
      <c r="C250" s="10" t="s">
        <v>54</v>
      </c>
      <c r="D250" s="18" t="n">
        <v>27656</v>
      </c>
      <c r="E250" s="19" t="n">
        <v>0.094</v>
      </c>
      <c r="F250" s="10" t="n">
        <v>0</v>
      </c>
      <c r="G250" s="20" t="n">
        <v>0.160002050315394</v>
      </c>
      <c r="H250" s="10" t="n">
        <v>60</v>
      </c>
      <c r="I250" s="10" t="n">
        <v>1</v>
      </c>
    </row>
    <row r="251" customFormat="false" ht="15" hidden="false" customHeight="false" outlineLevel="0" collapsed="false">
      <c r="A251" s="10" t="s">
        <v>323</v>
      </c>
      <c r="B251" s="10" t="s">
        <v>88</v>
      </c>
      <c r="C251" s="10" t="s">
        <v>74</v>
      </c>
      <c r="D251" s="18" t="n">
        <v>40800</v>
      </c>
      <c r="E251" s="19" t="n">
        <v>0.151</v>
      </c>
      <c r="F251" s="10" t="n">
        <v>0</v>
      </c>
      <c r="G251" s="20" t="n">
        <v>0.0893282859592374</v>
      </c>
      <c r="H251" s="10" t="n">
        <v>12</v>
      </c>
      <c r="I251" s="10" t="n">
        <v>0</v>
      </c>
    </row>
    <row r="252" customFormat="false" ht="15" hidden="false" customHeight="false" outlineLevel="0" collapsed="false">
      <c r="A252" s="10" t="s">
        <v>324</v>
      </c>
      <c r="B252" s="10" t="s">
        <v>62</v>
      </c>
      <c r="C252" s="10" t="s">
        <v>74</v>
      </c>
      <c r="D252" s="18" t="n">
        <v>23027</v>
      </c>
      <c r="E252" s="19" t="n">
        <v>0.333</v>
      </c>
      <c r="F252" s="10" t="n">
        <v>0</v>
      </c>
      <c r="G252" s="20" t="n">
        <v>0.172478023980406</v>
      </c>
      <c r="H252" s="10" t="n">
        <v>60</v>
      </c>
      <c r="I252" s="10" t="n">
        <v>0</v>
      </c>
    </row>
    <row r="253" customFormat="false" ht="15" hidden="false" customHeight="false" outlineLevel="0" collapsed="false">
      <c r="A253" s="10" t="s">
        <v>325</v>
      </c>
      <c r="B253" s="10" t="s">
        <v>62</v>
      </c>
      <c r="C253" s="10" t="s">
        <v>57</v>
      </c>
      <c r="D253" s="18" t="n">
        <v>18052</v>
      </c>
      <c r="E253" s="19" t="n">
        <v>0.319</v>
      </c>
      <c r="F253" s="10" t="n">
        <v>0</v>
      </c>
      <c r="G253" s="20" t="n">
        <v>0.16592048664966</v>
      </c>
      <c r="H253" s="10" t="n">
        <v>60</v>
      </c>
      <c r="I253" s="10" t="n">
        <v>0</v>
      </c>
    </row>
    <row r="254" customFormat="false" ht="15" hidden="false" customHeight="false" outlineLevel="0" collapsed="false">
      <c r="A254" s="10" t="s">
        <v>326</v>
      </c>
      <c r="B254" s="10" t="s">
        <v>69</v>
      </c>
      <c r="C254" s="10" t="s">
        <v>100</v>
      </c>
      <c r="D254" s="18" t="n">
        <v>86661</v>
      </c>
      <c r="E254" s="19" t="n">
        <v>0.328</v>
      </c>
      <c r="F254" s="10" t="n">
        <v>0</v>
      </c>
      <c r="G254" s="20" t="n">
        <v>0.158521914937284</v>
      </c>
      <c r="H254" s="10" t="n">
        <v>120</v>
      </c>
      <c r="I254" s="10" t="n">
        <v>0</v>
      </c>
    </row>
    <row r="255" customFormat="false" ht="15" hidden="false" customHeight="false" outlineLevel="0" collapsed="false">
      <c r="A255" s="10" t="s">
        <v>327</v>
      </c>
      <c r="B255" s="10" t="s">
        <v>62</v>
      </c>
      <c r="C255" s="10" t="s">
        <v>57</v>
      </c>
      <c r="D255" s="18" t="n">
        <v>111180</v>
      </c>
      <c r="E255" s="19" t="n">
        <v>0.702</v>
      </c>
      <c r="F255" s="10" t="n">
        <v>0</v>
      </c>
      <c r="G255" s="20" t="n">
        <v>0.289075947634845</v>
      </c>
      <c r="H255" s="10" t="n">
        <v>84</v>
      </c>
      <c r="I255" s="10" t="n">
        <v>0</v>
      </c>
    </row>
    <row r="256" customFormat="false" ht="15" hidden="false" customHeight="false" outlineLevel="0" collapsed="false">
      <c r="A256" s="10" t="s">
        <v>328</v>
      </c>
      <c r="B256" s="10" t="s">
        <v>69</v>
      </c>
      <c r="C256" s="10" t="s">
        <v>89</v>
      </c>
      <c r="D256" s="18" t="n">
        <v>16616</v>
      </c>
      <c r="E256" s="19" t="n">
        <v>0.648</v>
      </c>
      <c r="F256" s="10" t="n">
        <v>0</v>
      </c>
      <c r="G256" s="20" t="n">
        <v>0.114370525970946</v>
      </c>
      <c r="H256" s="10" t="n">
        <v>60</v>
      </c>
      <c r="I256" s="10" t="n">
        <v>0</v>
      </c>
    </row>
    <row r="257" customFormat="false" ht="15" hidden="false" customHeight="false" outlineLevel="0" collapsed="false">
      <c r="A257" s="10" t="s">
        <v>329</v>
      </c>
      <c r="B257" s="10" t="s">
        <v>76</v>
      </c>
      <c r="C257" s="10" t="s">
        <v>60</v>
      </c>
      <c r="D257" s="18" t="n">
        <v>35658</v>
      </c>
      <c r="E257" s="19" t="n">
        <v>0.441</v>
      </c>
      <c r="F257" s="10" t="n">
        <v>0</v>
      </c>
      <c r="G257" s="20" t="n">
        <v>0.168128432806743</v>
      </c>
      <c r="H257" s="10" t="n">
        <v>36</v>
      </c>
      <c r="I257" s="10" t="n">
        <v>1</v>
      </c>
    </row>
    <row r="258" customFormat="false" ht="15" hidden="false" customHeight="false" outlineLevel="0" collapsed="false">
      <c r="A258" s="10" t="s">
        <v>330</v>
      </c>
      <c r="B258" s="10" t="s">
        <v>83</v>
      </c>
      <c r="C258" s="10" t="s">
        <v>72</v>
      </c>
      <c r="D258" s="18" t="n">
        <v>83799</v>
      </c>
      <c r="E258" s="19" t="n">
        <v>0.207</v>
      </c>
      <c r="F258" s="10" t="n">
        <v>0</v>
      </c>
      <c r="G258" s="20" t="n">
        <v>0.15587152484023</v>
      </c>
      <c r="H258" s="10" t="n">
        <v>72</v>
      </c>
      <c r="I258" s="10" t="n">
        <v>0</v>
      </c>
    </row>
    <row r="259" customFormat="false" ht="15" hidden="false" customHeight="false" outlineLevel="0" collapsed="false">
      <c r="A259" s="10" t="s">
        <v>331</v>
      </c>
      <c r="B259" s="10" t="s">
        <v>69</v>
      </c>
      <c r="C259" s="10" t="s">
        <v>100</v>
      </c>
      <c r="D259" s="18" t="n">
        <v>16483</v>
      </c>
      <c r="E259" s="19" t="n">
        <v>0.95</v>
      </c>
      <c r="F259" s="10" t="n">
        <v>0</v>
      </c>
      <c r="G259" s="20" t="n">
        <v>0.187547594999295</v>
      </c>
      <c r="H259" s="10" t="n">
        <v>24</v>
      </c>
      <c r="I259" s="10" t="n">
        <v>0</v>
      </c>
    </row>
    <row r="260" customFormat="false" ht="15" hidden="false" customHeight="false" outlineLevel="0" collapsed="false">
      <c r="A260" s="10" t="s">
        <v>332</v>
      </c>
      <c r="B260" s="10" t="s">
        <v>83</v>
      </c>
      <c r="C260" s="10" t="s">
        <v>54</v>
      </c>
      <c r="D260" s="18" t="n">
        <v>65893</v>
      </c>
      <c r="E260" s="19" t="n">
        <v>0.345</v>
      </c>
      <c r="F260" s="10" t="n">
        <v>0</v>
      </c>
      <c r="G260" s="20" t="n">
        <v>0.153854626388788</v>
      </c>
      <c r="H260" s="10" t="n">
        <v>72</v>
      </c>
      <c r="I260" s="10" t="n">
        <v>0</v>
      </c>
    </row>
    <row r="261" customFormat="false" ht="15" hidden="false" customHeight="false" outlineLevel="0" collapsed="false">
      <c r="A261" s="10" t="s">
        <v>333</v>
      </c>
      <c r="B261" s="10" t="s">
        <v>83</v>
      </c>
      <c r="C261" s="10" t="s">
        <v>98</v>
      </c>
      <c r="D261" s="18" t="n">
        <v>81555</v>
      </c>
      <c r="E261" s="19" t="n">
        <v>0.738</v>
      </c>
      <c r="F261" s="10" t="n">
        <v>0</v>
      </c>
      <c r="G261" s="20" t="n">
        <v>0.161765891269109</v>
      </c>
      <c r="H261" s="10" t="n">
        <v>36</v>
      </c>
      <c r="I261" s="10" t="n">
        <v>0</v>
      </c>
    </row>
    <row r="262" customFormat="false" ht="15" hidden="false" customHeight="false" outlineLevel="0" collapsed="false">
      <c r="A262" s="10" t="s">
        <v>334</v>
      </c>
      <c r="B262" s="10" t="s">
        <v>83</v>
      </c>
      <c r="C262" s="10" t="s">
        <v>57</v>
      </c>
      <c r="D262" s="18" t="n">
        <v>80913</v>
      </c>
      <c r="E262" s="19" t="n">
        <v>0.446</v>
      </c>
      <c r="F262" s="10" t="n">
        <v>0</v>
      </c>
      <c r="G262" s="20" t="n">
        <v>0.129448536939381</v>
      </c>
      <c r="H262" s="10" t="n">
        <v>60</v>
      </c>
      <c r="I262" s="10" t="n">
        <v>0</v>
      </c>
    </row>
    <row r="263" customFormat="false" ht="15" hidden="false" customHeight="false" outlineLevel="0" collapsed="false">
      <c r="A263" s="10" t="s">
        <v>335</v>
      </c>
      <c r="B263" s="10" t="s">
        <v>56</v>
      </c>
      <c r="C263" s="10" t="s">
        <v>60</v>
      </c>
      <c r="D263" s="18" t="n">
        <v>25692</v>
      </c>
      <c r="E263" s="19" t="n">
        <v>0.65</v>
      </c>
      <c r="F263" s="10" t="n">
        <v>0</v>
      </c>
      <c r="G263" s="20" t="n">
        <v>0.845164248350211</v>
      </c>
      <c r="H263" s="10" t="n">
        <v>60</v>
      </c>
      <c r="I263" s="10" t="n">
        <v>1</v>
      </c>
    </row>
    <row r="264" customFormat="false" ht="15" hidden="false" customHeight="false" outlineLevel="0" collapsed="false">
      <c r="A264" s="10" t="s">
        <v>336</v>
      </c>
      <c r="B264" s="10" t="s">
        <v>76</v>
      </c>
      <c r="C264" s="10" t="s">
        <v>57</v>
      </c>
      <c r="D264" s="18" t="n">
        <v>143973</v>
      </c>
      <c r="E264" s="19" t="n">
        <v>0.727</v>
      </c>
      <c r="F264" s="10" t="n">
        <v>0</v>
      </c>
      <c r="G264" s="20" t="n">
        <v>0.148385812512469</v>
      </c>
      <c r="H264" s="10" t="n">
        <v>36</v>
      </c>
      <c r="I264" s="10" t="n">
        <v>0</v>
      </c>
    </row>
    <row r="265" customFormat="false" ht="15" hidden="false" customHeight="false" outlineLevel="0" collapsed="false">
      <c r="A265" s="10" t="s">
        <v>337</v>
      </c>
      <c r="B265" s="10" t="s">
        <v>76</v>
      </c>
      <c r="C265" s="10" t="s">
        <v>60</v>
      </c>
      <c r="D265" s="18" t="n">
        <v>162607</v>
      </c>
      <c r="E265" s="19" t="n">
        <v>0.847</v>
      </c>
      <c r="F265" s="10" t="n">
        <v>95</v>
      </c>
      <c r="G265" s="20" t="n">
        <v>0.602521164548171</v>
      </c>
      <c r="H265" s="10" t="n">
        <v>120</v>
      </c>
      <c r="I265" s="10" t="n">
        <v>1</v>
      </c>
    </row>
    <row r="266" customFormat="false" ht="15" hidden="false" customHeight="false" outlineLevel="0" collapsed="false">
      <c r="A266" s="10" t="s">
        <v>338</v>
      </c>
      <c r="B266" s="10" t="s">
        <v>69</v>
      </c>
      <c r="C266" s="10" t="s">
        <v>72</v>
      </c>
      <c r="D266" s="18" t="n">
        <v>201311</v>
      </c>
      <c r="E266" s="19" t="n">
        <v>0.613</v>
      </c>
      <c r="F266" s="10" t="n">
        <v>0</v>
      </c>
      <c r="G266" s="20" t="n">
        <v>0.327295416288768</v>
      </c>
      <c r="H266" s="10" t="n">
        <v>60</v>
      </c>
      <c r="I266" s="10" t="n">
        <v>1</v>
      </c>
    </row>
    <row r="267" customFormat="false" ht="15" hidden="false" customHeight="false" outlineLevel="0" collapsed="false">
      <c r="A267" s="10" t="s">
        <v>339</v>
      </c>
      <c r="B267" s="10" t="s">
        <v>62</v>
      </c>
      <c r="C267" s="10" t="s">
        <v>77</v>
      </c>
      <c r="D267" s="18" t="n">
        <v>44248</v>
      </c>
      <c r="E267" s="19" t="n">
        <v>0.215</v>
      </c>
      <c r="F267" s="10" t="n">
        <v>0</v>
      </c>
      <c r="G267" s="20" t="n">
        <v>0.0877328306506364</v>
      </c>
      <c r="H267" s="10" t="n">
        <v>48</v>
      </c>
      <c r="I267" s="10" t="n">
        <v>0</v>
      </c>
    </row>
    <row r="268" customFormat="false" ht="15" hidden="false" customHeight="false" outlineLevel="0" collapsed="false">
      <c r="A268" s="10" t="s">
        <v>340</v>
      </c>
      <c r="B268" s="10" t="s">
        <v>76</v>
      </c>
      <c r="C268" s="10" t="s">
        <v>100</v>
      </c>
      <c r="D268" s="18" t="n">
        <v>129953</v>
      </c>
      <c r="E268" s="19" t="n">
        <v>0.179</v>
      </c>
      <c r="F268" s="10" t="n">
        <v>0</v>
      </c>
      <c r="G268" s="20" t="n">
        <v>0.153929886930912</v>
      </c>
      <c r="H268" s="10" t="n">
        <v>84</v>
      </c>
      <c r="I268" s="10" t="n">
        <v>0</v>
      </c>
    </row>
    <row r="269" customFormat="false" ht="15" hidden="false" customHeight="false" outlineLevel="0" collapsed="false">
      <c r="A269" s="10" t="s">
        <v>341</v>
      </c>
      <c r="B269" s="10" t="s">
        <v>62</v>
      </c>
      <c r="C269" s="10" t="s">
        <v>54</v>
      </c>
      <c r="D269" s="18" t="n">
        <v>40644</v>
      </c>
      <c r="E269" s="19" t="n">
        <v>0.333</v>
      </c>
      <c r="F269" s="10" t="n">
        <v>15</v>
      </c>
      <c r="G269" s="20" t="n">
        <v>0.219451185817403</v>
      </c>
      <c r="H269" s="10" t="n">
        <v>48</v>
      </c>
      <c r="I269" s="10" t="n">
        <v>0</v>
      </c>
    </row>
    <row r="270" customFormat="false" ht="15" hidden="false" customHeight="false" outlineLevel="0" collapsed="false">
      <c r="A270" s="10" t="s">
        <v>342</v>
      </c>
      <c r="B270" s="10" t="s">
        <v>64</v>
      </c>
      <c r="C270" s="10" t="s">
        <v>74</v>
      </c>
      <c r="D270" s="18" t="n">
        <v>15112</v>
      </c>
      <c r="E270" s="19" t="n">
        <v>0.7</v>
      </c>
      <c r="F270" s="10" t="n">
        <v>0</v>
      </c>
      <c r="G270" s="20" t="n">
        <v>0.137898094050403</v>
      </c>
      <c r="H270" s="10" t="n">
        <v>24</v>
      </c>
      <c r="I270" s="10" t="n">
        <v>0</v>
      </c>
    </row>
    <row r="271" customFormat="false" ht="15" hidden="false" customHeight="false" outlineLevel="0" collapsed="false">
      <c r="A271" s="10" t="s">
        <v>343</v>
      </c>
      <c r="B271" s="10" t="s">
        <v>88</v>
      </c>
      <c r="C271" s="10" t="s">
        <v>54</v>
      </c>
      <c r="D271" s="18" t="n">
        <v>30384</v>
      </c>
      <c r="E271" s="19" t="n">
        <v>0.596</v>
      </c>
      <c r="F271" s="10" t="n">
        <v>35</v>
      </c>
      <c r="G271" s="20" t="n">
        <v>0.257871853568351</v>
      </c>
      <c r="H271" s="10" t="n">
        <v>36</v>
      </c>
      <c r="I271" s="10" t="n">
        <v>0</v>
      </c>
    </row>
    <row r="272" customFormat="false" ht="15" hidden="false" customHeight="false" outlineLevel="0" collapsed="false">
      <c r="A272" s="10" t="s">
        <v>344</v>
      </c>
      <c r="B272" s="10" t="s">
        <v>64</v>
      </c>
      <c r="C272" s="10" t="s">
        <v>54</v>
      </c>
      <c r="D272" s="18" t="n">
        <v>37035</v>
      </c>
      <c r="E272" s="19" t="n">
        <v>0.767</v>
      </c>
      <c r="F272" s="10" t="n">
        <v>0</v>
      </c>
      <c r="G272" s="20" t="n">
        <v>0.233416809439437</v>
      </c>
      <c r="H272" s="10" t="n">
        <v>24</v>
      </c>
      <c r="I272" s="10" t="n">
        <v>0</v>
      </c>
    </row>
    <row r="273" customFormat="false" ht="15" hidden="false" customHeight="false" outlineLevel="0" collapsed="false">
      <c r="A273" s="10" t="s">
        <v>345</v>
      </c>
      <c r="B273" s="10" t="s">
        <v>67</v>
      </c>
      <c r="C273" s="10" t="s">
        <v>72</v>
      </c>
      <c r="D273" s="18" t="n">
        <v>90258</v>
      </c>
      <c r="E273" s="19" t="n">
        <v>0.195</v>
      </c>
      <c r="F273" s="10" t="n">
        <v>0</v>
      </c>
      <c r="G273" s="20" t="n">
        <v>0.0803647618209745</v>
      </c>
      <c r="H273" s="10" t="n">
        <v>48</v>
      </c>
      <c r="I273" s="10" t="n">
        <v>0</v>
      </c>
    </row>
    <row r="274" customFormat="false" ht="15" hidden="false" customHeight="false" outlineLevel="0" collapsed="false">
      <c r="A274" s="10" t="s">
        <v>346</v>
      </c>
      <c r="B274" s="10" t="s">
        <v>67</v>
      </c>
      <c r="C274" s="10" t="s">
        <v>54</v>
      </c>
      <c r="D274" s="18" t="n">
        <v>42430</v>
      </c>
      <c r="E274" s="19" t="n">
        <v>0.169</v>
      </c>
      <c r="F274" s="10" t="n">
        <v>0</v>
      </c>
      <c r="G274" s="20" t="n">
        <v>0.110859062835297</v>
      </c>
      <c r="H274" s="10" t="n">
        <v>36</v>
      </c>
      <c r="I274" s="10" t="n">
        <v>0</v>
      </c>
    </row>
    <row r="275" customFormat="false" ht="15" hidden="false" customHeight="false" outlineLevel="0" collapsed="false">
      <c r="A275" s="10" t="s">
        <v>347</v>
      </c>
      <c r="B275" s="10" t="s">
        <v>83</v>
      </c>
      <c r="C275" s="10" t="s">
        <v>74</v>
      </c>
      <c r="D275" s="18" t="n">
        <v>48995</v>
      </c>
      <c r="E275" s="19" t="n">
        <v>0.564</v>
      </c>
      <c r="F275" s="10" t="n">
        <v>0</v>
      </c>
      <c r="G275" s="20" t="n">
        <v>0.215024383441195</v>
      </c>
      <c r="H275" s="10" t="n">
        <v>84</v>
      </c>
      <c r="I275" s="10" t="n">
        <v>0</v>
      </c>
    </row>
    <row r="276" customFormat="false" ht="15" hidden="false" customHeight="false" outlineLevel="0" collapsed="false">
      <c r="A276" s="10" t="s">
        <v>348</v>
      </c>
      <c r="B276" s="10" t="s">
        <v>56</v>
      </c>
      <c r="C276" s="10" t="s">
        <v>72</v>
      </c>
      <c r="D276" s="18" t="n">
        <v>50133</v>
      </c>
      <c r="E276" s="19" t="n">
        <v>0.484</v>
      </c>
      <c r="F276" s="10" t="n">
        <v>65</v>
      </c>
      <c r="G276" s="20" t="n">
        <v>0.343088980269871</v>
      </c>
      <c r="H276" s="10" t="n">
        <v>120</v>
      </c>
      <c r="I276" s="10" t="n">
        <v>0</v>
      </c>
    </row>
    <row r="277" customFormat="false" ht="15" hidden="false" customHeight="false" outlineLevel="0" collapsed="false">
      <c r="A277" s="10" t="s">
        <v>349</v>
      </c>
      <c r="B277" s="10" t="s">
        <v>76</v>
      </c>
      <c r="C277" s="10" t="s">
        <v>98</v>
      </c>
      <c r="D277" s="18" t="n">
        <v>130050</v>
      </c>
      <c r="E277" s="19" t="n">
        <v>0.285</v>
      </c>
      <c r="F277" s="10" t="n">
        <v>95</v>
      </c>
      <c r="G277" s="20" t="n">
        <v>0.40449022860665</v>
      </c>
      <c r="H277" s="10" t="n">
        <v>60</v>
      </c>
      <c r="I277" s="10" t="n">
        <v>0</v>
      </c>
    </row>
    <row r="278" customFormat="false" ht="15" hidden="false" customHeight="false" outlineLevel="0" collapsed="false">
      <c r="A278" s="10" t="s">
        <v>350</v>
      </c>
      <c r="B278" s="10" t="s">
        <v>69</v>
      </c>
      <c r="C278" s="10" t="s">
        <v>100</v>
      </c>
      <c r="D278" s="18" t="n">
        <v>65517</v>
      </c>
      <c r="E278" s="19" t="n">
        <v>0.345</v>
      </c>
      <c r="F278" s="10" t="n">
        <v>0</v>
      </c>
      <c r="G278" s="20" t="n">
        <v>0.259111242128476</v>
      </c>
      <c r="H278" s="10" t="n">
        <v>84</v>
      </c>
      <c r="I278" s="10" t="n">
        <v>1</v>
      </c>
    </row>
    <row r="279" customFormat="false" ht="15" hidden="false" customHeight="false" outlineLevel="0" collapsed="false">
      <c r="A279" s="10" t="s">
        <v>351</v>
      </c>
      <c r="B279" s="10" t="s">
        <v>62</v>
      </c>
      <c r="C279" s="10" t="s">
        <v>81</v>
      </c>
      <c r="D279" s="18" t="n">
        <v>23197</v>
      </c>
      <c r="E279" s="19" t="n">
        <v>0.379</v>
      </c>
      <c r="F279" s="10" t="n">
        <v>0</v>
      </c>
      <c r="G279" s="20" t="n">
        <v>0.175263403119148</v>
      </c>
      <c r="H279" s="10" t="n">
        <v>36</v>
      </c>
      <c r="I279" s="10" t="n">
        <v>0</v>
      </c>
    </row>
    <row r="280" customFormat="false" ht="15" hidden="false" customHeight="false" outlineLevel="0" collapsed="false">
      <c r="A280" s="10" t="s">
        <v>352</v>
      </c>
      <c r="B280" s="10" t="s">
        <v>67</v>
      </c>
      <c r="C280" s="10" t="s">
        <v>54</v>
      </c>
      <c r="D280" s="18" t="n">
        <v>19352</v>
      </c>
      <c r="E280" s="19" t="n">
        <v>0.199</v>
      </c>
      <c r="F280" s="10" t="n">
        <v>0</v>
      </c>
      <c r="G280" s="20" t="n">
        <v>0.138621616198608</v>
      </c>
      <c r="H280" s="10" t="n">
        <v>60</v>
      </c>
      <c r="I280" s="10" t="n">
        <v>0</v>
      </c>
    </row>
    <row r="281" customFormat="false" ht="15" hidden="false" customHeight="false" outlineLevel="0" collapsed="false">
      <c r="A281" s="10" t="s">
        <v>353</v>
      </c>
      <c r="B281" s="10" t="s">
        <v>83</v>
      </c>
      <c r="C281" s="10" t="s">
        <v>98</v>
      </c>
      <c r="D281" s="18" t="n">
        <v>46772</v>
      </c>
      <c r="E281" s="19" t="n">
        <v>0.497</v>
      </c>
      <c r="F281" s="10" t="n">
        <v>0</v>
      </c>
      <c r="G281" s="20" t="n">
        <v>0.203137041329651</v>
      </c>
      <c r="H281" s="10" t="n">
        <v>24</v>
      </c>
      <c r="I281" s="10" t="n">
        <v>1</v>
      </c>
    </row>
    <row r="282" customFormat="false" ht="15" hidden="false" customHeight="false" outlineLevel="0" collapsed="false">
      <c r="A282" s="10" t="s">
        <v>354</v>
      </c>
      <c r="B282" s="10" t="s">
        <v>56</v>
      </c>
      <c r="C282" s="10" t="s">
        <v>72</v>
      </c>
      <c r="D282" s="18" t="n">
        <v>26334</v>
      </c>
      <c r="E282" s="19" t="n">
        <v>0.521</v>
      </c>
      <c r="F282" s="10" t="n">
        <v>0</v>
      </c>
      <c r="G282" s="20" t="n">
        <v>0.181361659760287</v>
      </c>
      <c r="H282" s="10" t="n">
        <v>60</v>
      </c>
      <c r="I282" s="10" t="n">
        <v>0</v>
      </c>
    </row>
    <row r="283" customFormat="false" ht="15" hidden="false" customHeight="false" outlineLevel="0" collapsed="false">
      <c r="A283" s="10" t="s">
        <v>355</v>
      </c>
      <c r="B283" s="10" t="s">
        <v>53</v>
      </c>
      <c r="C283" s="10" t="s">
        <v>98</v>
      </c>
      <c r="D283" s="18" t="n">
        <v>41660</v>
      </c>
      <c r="E283" s="19" t="n">
        <v>0.242</v>
      </c>
      <c r="F283" s="10" t="n">
        <v>0</v>
      </c>
      <c r="G283" s="20" t="n">
        <v>0.241227274886721</v>
      </c>
      <c r="H283" s="10" t="n">
        <v>36</v>
      </c>
      <c r="I283" s="10" t="n">
        <v>1</v>
      </c>
    </row>
    <row r="284" customFormat="false" ht="15" hidden="false" customHeight="false" outlineLevel="0" collapsed="false">
      <c r="A284" s="10" t="s">
        <v>356</v>
      </c>
      <c r="B284" s="10" t="s">
        <v>59</v>
      </c>
      <c r="C284" s="10" t="s">
        <v>54</v>
      </c>
      <c r="D284" s="18" t="n">
        <v>46853</v>
      </c>
      <c r="E284" s="19" t="n">
        <v>0.727</v>
      </c>
      <c r="F284" s="10" t="n">
        <v>0</v>
      </c>
      <c r="G284" s="20" t="n">
        <v>0.141126326030338</v>
      </c>
      <c r="H284" s="10" t="n">
        <v>72</v>
      </c>
      <c r="I284" s="10" t="n">
        <v>0</v>
      </c>
    </row>
    <row r="285" customFormat="false" ht="15" hidden="false" customHeight="false" outlineLevel="0" collapsed="false">
      <c r="A285" s="10" t="s">
        <v>357</v>
      </c>
      <c r="B285" s="10" t="s">
        <v>56</v>
      </c>
      <c r="C285" s="10" t="s">
        <v>74</v>
      </c>
      <c r="D285" s="18" t="n">
        <v>26699</v>
      </c>
      <c r="E285" s="19" t="n">
        <v>0.175</v>
      </c>
      <c r="F285" s="10" t="n">
        <v>0</v>
      </c>
      <c r="G285" s="20" t="n">
        <v>0.174671947393234</v>
      </c>
      <c r="H285" s="10" t="n">
        <v>72</v>
      </c>
      <c r="I285" s="10" t="n">
        <v>0</v>
      </c>
    </row>
    <row r="286" customFormat="false" ht="15" hidden="false" customHeight="false" outlineLevel="0" collapsed="false">
      <c r="A286" s="10" t="s">
        <v>358</v>
      </c>
      <c r="B286" s="10" t="s">
        <v>59</v>
      </c>
      <c r="C286" s="10" t="s">
        <v>81</v>
      </c>
      <c r="D286" s="18" t="n">
        <v>64770</v>
      </c>
      <c r="E286" s="19" t="n">
        <v>0.213</v>
      </c>
      <c r="F286" s="10" t="n">
        <v>0</v>
      </c>
      <c r="G286" s="20" t="n">
        <v>0.0943716225837392</v>
      </c>
      <c r="H286" s="10" t="n">
        <v>84</v>
      </c>
      <c r="I286" s="10" t="n">
        <v>0</v>
      </c>
    </row>
    <row r="287" customFormat="false" ht="15" hidden="false" customHeight="false" outlineLevel="0" collapsed="false">
      <c r="A287" s="10" t="s">
        <v>359</v>
      </c>
      <c r="B287" s="10" t="s">
        <v>59</v>
      </c>
      <c r="C287" s="10" t="s">
        <v>100</v>
      </c>
      <c r="D287" s="18" t="n">
        <v>109733</v>
      </c>
      <c r="E287" s="19" t="n">
        <v>0.564</v>
      </c>
      <c r="F287" s="10" t="n">
        <v>0</v>
      </c>
      <c r="G287" s="20" t="n">
        <v>0.0538609119997042</v>
      </c>
      <c r="H287" s="10" t="n">
        <v>84</v>
      </c>
      <c r="I287" s="10" t="n">
        <v>0</v>
      </c>
    </row>
    <row r="288" customFormat="false" ht="15" hidden="false" customHeight="false" outlineLevel="0" collapsed="false">
      <c r="A288" s="10" t="s">
        <v>360</v>
      </c>
      <c r="B288" s="10" t="s">
        <v>64</v>
      </c>
      <c r="C288" s="10" t="s">
        <v>77</v>
      </c>
      <c r="D288" s="18" t="n">
        <v>41313</v>
      </c>
      <c r="E288" s="19" t="n">
        <v>0.351</v>
      </c>
      <c r="F288" s="10" t="n">
        <v>0</v>
      </c>
      <c r="G288" s="20" t="n">
        <v>0.166631950241968</v>
      </c>
      <c r="H288" s="10" t="n">
        <v>48</v>
      </c>
      <c r="I288" s="10" t="n">
        <v>0</v>
      </c>
    </row>
    <row r="289" customFormat="false" ht="15" hidden="false" customHeight="false" outlineLevel="0" collapsed="false">
      <c r="A289" s="10" t="s">
        <v>361</v>
      </c>
      <c r="B289" s="10" t="s">
        <v>76</v>
      </c>
      <c r="C289" s="10" t="s">
        <v>89</v>
      </c>
      <c r="D289" s="18" t="n">
        <v>82638</v>
      </c>
      <c r="E289" s="19" t="n">
        <v>0.433</v>
      </c>
      <c r="F289" s="10" t="n">
        <v>0</v>
      </c>
      <c r="G289" s="20" t="n">
        <v>0.185007375558027</v>
      </c>
      <c r="H289" s="10" t="n">
        <v>48</v>
      </c>
      <c r="I289" s="10" t="n">
        <v>0</v>
      </c>
    </row>
    <row r="290" customFormat="false" ht="15" hidden="false" customHeight="false" outlineLevel="0" collapsed="false">
      <c r="A290" s="10" t="s">
        <v>362</v>
      </c>
      <c r="B290" s="10" t="s">
        <v>56</v>
      </c>
      <c r="C290" s="10" t="s">
        <v>57</v>
      </c>
      <c r="D290" s="18" t="n">
        <v>25941</v>
      </c>
      <c r="E290" s="19" t="n">
        <v>0.765</v>
      </c>
      <c r="F290" s="10" t="n">
        <v>0</v>
      </c>
      <c r="G290" s="20" t="n">
        <v>0.158848074538779</v>
      </c>
      <c r="H290" s="10" t="n">
        <v>60</v>
      </c>
      <c r="I290" s="10" t="n">
        <v>0</v>
      </c>
    </row>
    <row r="291" customFormat="false" ht="15" hidden="false" customHeight="false" outlineLevel="0" collapsed="false">
      <c r="A291" s="10" t="s">
        <v>363</v>
      </c>
      <c r="B291" s="10" t="s">
        <v>76</v>
      </c>
      <c r="C291" s="10" t="s">
        <v>98</v>
      </c>
      <c r="D291" s="18" t="n">
        <v>22069</v>
      </c>
      <c r="E291" s="19" t="n">
        <v>0.351</v>
      </c>
      <c r="F291" s="10" t="n">
        <v>0</v>
      </c>
      <c r="G291" s="20" t="n">
        <v>0.103379115211535</v>
      </c>
      <c r="H291" s="10" t="n">
        <v>36</v>
      </c>
      <c r="I291" s="10" t="n">
        <v>0</v>
      </c>
    </row>
    <row r="292" customFormat="false" ht="15" hidden="false" customHeight="false" outlineLevel="0" collapsed="false">
      <c r="A292" s="10" t="s">
        <v>364</v>
      </c>
      <c r="B292" s="10" t="s">
        <v>53</v>
      </c>
      <c r="C292" s="10" t="s">
        <v>100</v>
      </c>
      <c r="D292" s="18" t="n">
        <v>271739</v>
      </c>
      <c r="E292" s="19" t="n">
        <v>0.05</v>
      </c>
      <c r="F292" s="10" t="n">
        <v>5</v>
      </c>
      <c r="G292" s="20" t="n">
        <v>0.253572142414661</v>
      </c>
      <c r="H292" s="10" t="n">
        <v>60</v>
      </c>
      <c r="I292" s="10" t="n">
        <v>0</v>
      </c>
    </row>
    <row r="293" customFormat="false" ht="15" hidden="false" customHeight="false" outlineLevel="0" collapsed="false">
      <c r="A293" s="10" t="s">
        <v>365</v>
      </c>
      <c r="B293" s="10" t="s">
        <v>62</v>
      </c>
      <c r="C293" s="10" t="s">
        <v>100</v>
      </c>
      <c r="D293" s="18" t="n">
        <v>39093</v>
      </c>
      <c r="E293" s="19" t="n">
        <v>0.405</v>
      </c>
      <c r="F293" s="10" t="n">
        <v>5</v>
      </c>
      <c r="G293" s="20" t="n">
        <v>0.128222276954173</v>
      </c>
      <c r="H293" s="10" t="n">
        <v>24</v>
      </c>
      <c r="I293" s="10" t="n">
        <v>0</v>
      </c>
    </row>
    <row r="294" customFormat="false" ht="15" hidden="false" customHeight="false" outlineLevel="0" collapsed="false">
      <c r="A294" s="10" t="s">
        <v>366</v>
      </c>
      <c r="B294" s="10" t="s">
        <v>88</v>
      </c>
      <c r="C294" s="10" t="s">
        <v>100</v>
      </c>
      <c r="D294" s="18" t="n">
        <v>122148</v>
      </c>
      <c r="E294" s="19" t="n">
        <v>0.675</v>
      </c>
      <c r="F294" s="10" t="n">
        <v>0</v>
      </c>
      <c r="G294" s="20" t="n">
        <v>0.232654622975029</v>
      </c>
      <c r="H294" s="10" t="n">
        <v>60</v>
      </c>
      <c r="I294" s="10" t="n">
        <v>0</v>
      </c>
    </row>
    <row r="295" customFormat="false" ht="15" hidden="false" customHeight="false" outlineLevel="0" collapsed="false">
      <c r="A295" s="10" t="s">
        <v>367</v>
      </c>
      <c r="B295" s="10" t="s">
        <v>83</v>
      </c>
      <c r="C295" s="10" t="s">
        <v>72</v>
      </c>
      <c r="D295" s="18" t="n">
        <v>211239</v>
      </c>
      <c r="E295" s="19" t="n">
        <v>0.332</v>
      </c>
      <c r="F295" s="10" t="n">
        <v>0</v>
      </c>
      <c r="G295" s="20" t="n">
        <v>0.455214868491971</v>
      </c>
      <c r="H295" s="10" t="n">
        <v>84</v>
      </c>
      <c r="I295" s="10" t="n">
        <v>0</v>
      </c>
    </row>
    <row r="296" customFormat="false" ht="15" hidden="false" customHeight="false" outlineLevel="0" collapsed="false">
      <c r="A296" s="10" t="s">
        <v>368</v>
      </c>
      <c r="B296" s="10" t="s">
        <v>88</v>
      </c>
      <c r="C296" s="10" t="s">
        <v>54</v>
      </c>
      <c r="D296" s="18" t="n">
        <v>31313</v>
      </c>
      <c r="E296" s="19" t="n">
        <v>0.192</v>
      </c>
      <c r="F296" s="10" t="n">
        <v>0</v>
      </c>
      <c r="G296" s="20" t="n">
        <v>0.160667999019171</v>
      </c>
      <c r="H296" s="10" t="n">
        <v>48</v>
      </c>
      <c r="I296" s="10" t="n">
        <v>0</v>
      </c>
    </row>
    <row r="297" customFormat="false" ht="15" hidden="false" customHeight="false" outlineLevel="0" collapsed="false">
      <c r="A297" s="10" t="s">
        <v>369</v>
      </c>
      <c r="B297" s="10" t="s">
        <v>88</v>
      </c>
      <c r="C297" s="10" t="s">
        <v>54</v>
      </c>
      <c r="D297" s="18" t="n">
        <v>55321</v>
      </c>
      <c r="E297" s="19" t="n">
        <v>0.614</v>
      </c>
      <c r="F297" s="10" t="n">
        <v>0</v>
      </c>
      <c r="G297" s="20" t="n">
        <v>0.265623823790683</v>
      </c>
      <c r="H297" s="10" t="n">
        <v>60</v>
      </c>
      <c r="I297" s="10" t="n">
        <v>0</v>
      </c>
    </row>
    <row r="298" customFormat="false" ht="15" hidden="false" customHeight="false" outlineLevel="0" collapsed="false">
      <c r="A298" s="10" t="s">
        <v>370</v>
      </c>
      <c r="B298" s="10" t="s">
        <v>69</v>
      </c>
      <c r="C298" s="10" t="s">
        <v>74</v>
      </c>
      <c r="D298" s="18" t="n">
        <v>23075</v>
      </c>
      <c r="E298" s="19" t="n">
        <v>0.475</v>
      </c>
      <c r="F298" s="10" t="n">
        <v>0</v>
      </c>
      <c r="G298" s="20" t="n">
        <v>0.122332936369393</v>
      </c>
      <c r="H298" s="10" t="n">
        <v>48</v>
      </c>
      <c r="I298" s="10" t="n">
        <v>0</v>
      </c>
    </row>
    <row r="299" customFormat="false" ht="15" hidden="false" customHeight="false" outlineLevel="0" collapsed="false">
      <c r="A299" s="10" t="s">
        <v>371</v>
      </c>
      <c r="B299" s="10" t="s">
        <v>83</v>
      </c>
      <c r="C299" s="10" t="s">
        <v>72</v>
      </c>
      <c r="D299" s="18" t="n">
        <v>59999</v>
      </c>
      <c r="E299" s="19" t="n">
        <v>0.439</v>
      </c>
      <c r="F299" s="10" t="n">
        <v>0</v>
      </c>
      <c r="G299" s="20" t="n">
        <v>0.001</v>
      </c>
      <c r="H299" s="10" t="n">
        <v>36</v>
      </c>
      <c r="I299" s="10" t="n">
        <v>0</v>
      </c>
    </row>
    <row r="300" customFormat="false" ht="15" hidden="false" customHeight="false" outlineLevel="0" collapsed="false">
      <c r="A300" s="10" t="s">
        <v>372</v>
      </c>
      <c r="B300" s="10" t="s">
        <v>59</v>
      </c>
      <c r="C300" s="10" t="s">
        <v>74</v>
      </c>
      <c r="D300" s="18" t="n">
        <v>22372</v>
      </c>
      <c r="E300" s="19" t="n">
        <v>0.253</v>
      </c>
      <c r="F300" s="10" t="n">
        <v>0</v>
      </c>
      <c r="G300" s="20" t="n">
        <v>0.38586348411967</v>
      </c>
      <c r="H300" s="10" t="n">
        <v>48</v>
      </c>
      <c r="I300" s="10" t="n">
        <v>1</v>
      </c>
    </row>
    <row r="301" customFormat="false" ht="15" hidden="false" customHeight="false" outlineLevel="0" collapsed="false">
      <c r="A301" s="10" t="s">
        <v>373</v>
      </c>
      <c r="B301" s="10" t="s">
        <v>64</v>
      </c>
      <c r="C301" s="10" t="s">
        <v>100</v>
      </c>
      <c r="D301" s="18" t="n">
        <v>53234</v>
      </c>
      <c r="E301" s="19" t="n">
        <v>0.575</v>
      </c>
      <c r="F301" s="10" t="n">
        <v>0</v>
      </c>
      <c r="G301" s="20" t="n">
        <v>0.315278952834265</v>
      </c>
      <c r="H301" s="10" t="n">
        <v>72</v>
      </c>
      <c r="I301" s="10" t="n">
        <v>1</v>
      </c>
    </row>
    <row r="302" customFormat="false" ht="15" hidden="false" customHeight="false" outlineLevel="0" collapsed="false">
      <c r="A302" s="10" t="s">
        <v>374</v>
      </c>
      <c r="B302" s="10" t="s">
        <v>76</v>
      </c>
      <c r="C302" s="10" t="s">
        <v>54</v>
      </c>
      <c r="D302" s="18" t="n">
        <v>59540</v>
      </c>
      <c r="E302" s="19" t="n">
        <v>0.372</v>
      </c>
      <c r="F302" s="10" t="n">
        <v>0</v>
      </c>
      <c r="G302" s="20" t="n">
        <v>0.106362448791887</v>
      </c>
      <c r="H302" s="10" t="n">
        <v>36</v>
      </c>
      <c r="I302" s="10" t="n">
        <v>0</v>
      </c>
    </row>
    <row r="303" customFormat="false" ht="15" hidden="false" customHeight="false" outlineLevel="0" collapsed="false">
      <c r="A303" s="10" t="s">
        <v>375</v>
      </c>
      <c r="B303" s="10" t="s">
        <v>69</v>
      </c>
      <c r="C303" s="10" t="s">
        <v>54</v>
      </c>
      <c r="D303" s="18" t="n">
        <v>28108</v>
      </c>
      <c r="E303" s="19" t="n">
        <v>0.714</v>
      </c>
      <c r="F303" s="10" t="n">
        <v>0</v>
      </c>
      <c r="G303" s="20" t="n">
        <v>0.175250414081156</v>
      </c>
      <c r="H303" s="10" t="n">
        <v>48</v>
      </c>
      <c r="I303" s="10" t="n">
        <v>0</v>
      </c>
    </row>
    <row r="304" customFormat="false" ht="15" hidden="false" customHeight="false" outlineLevel="0" collapsed="false">
      <c r="A304" s="10" t="s">
        <v>376</v>
      </c>
      <c r="B304" s="10" t="s">
        <v>56</v>
      </c>
      <c r="C304" s="10" t="s">
        <v>57</v>
      </c>
      <c r="D304" s="18" t="n">
        <v>28098</v>
      </c>
      <c r="E304" s="19" t="n">
        <v>0.231</v>
      </c>
      <c r="F304" s="10" t="n">
        <v>0</v>
      </c>
      <c r="G304" s="20" t="n">
        <v>0.0019777874443086</v>
      </c>
      <c r="H304" s="10" t="n">
        <v>84</v>
      </c>
      <c r="I304" s="10" t="n">
        <v>0</v>
      </c>
    </row>
    <row r="305" customFormat="false" ht="15" hidden="false" customHeight="false" outlineLevel="0" collapsed="false">
      <c r="A305" s="10" t="s">
        <v>377</v>
      </c>
      <c r="B305" s="10" t="s">
        <v>88</v>
      </c>
      <c r="C305" s="10" t="s">
        <v>57</v>
      </c>
      <c r="D305" s="18" t="n">
        <v>21942</v>
      </c>
      <c r="E305" s="19" t="n">
        <v>0.224</v>
      </c>
      <c r="F305" s="10" t="n">
        <v>0</v>
      </c>
      <c r="G305" s="20" t="n">
        <v>0.216916981941038</v>
      </c>
      <c r="H305" s="10" t="n">
        <v>60</v>
      </c>
      <c r="I305" s="10" t="n">
        <v>0</v>
      </c>
    </row>
    <row r="306" customFormat="false" ht="15" hidden="false" customHeight="false" outlineLevel="0" collapsed="false">
      <c r="A306" s="10" t="s">
        <v>378</v>
      </c>
      <c r="B306" s="10" t="s">
        <v>62</v>
      </c>
      <c r="C306" s="10" t="s">
        <v>60</v>
      </c>
      <c r="D306" s="18" t="n">
        <v>207556</v>
      </c>
      <c r="E306" s="19" t="n">
        <v>0.76</v>
      </c>
      <c r="F306" s="10" t="n">
        <v>0</v>
      </c>
      <c r="G306" s="20" t="n">
        <v>0.227306534178664</v>
      </c>
      <c r="H306" s="10" t="n">
        <v>48</v>
      </c>
      <c r="I306" s="10" t="n">
        <v>1</v>
      </c>
    </row>
    <row r="307" customFormat="false" ht="15" hidden="false" customHeight="false" outlineLevel="0" collapsed="false">
      <c r="A307" s="10" t="s">
        <v>379</v>
      </c>
      <c r="B307" s="10" t="s">
        <v>56</v>
      </c>
      <c r="C307" s="10" t="s">
        <v>74</v>
      </c>
      <c r="D307" s="18" t="n">
        <v>15008</v>
      </c>
      <c r="E307" s="19" t="n">
        <v>0.266</v>
      </c>
      <c r="F307" s="10" t="n">
        <v>0</v>
      </c>
      <c r="G307" s="20" t="n">
        <v>0.0888798656596207</v>
      </c>
      <c r="H307" s="10" t="n">
        <v>60</v>
      </c>
      <c r="I307" s="10" t="n">
        <v>0</v>
      </c>
    </row>
    <row r="308" customFormat="false" ht="15" hidden="false" customHeight="false" outlineLevel="0" collapsed="false">
      <c r="A308" s="10" t="s">
        <v>380</v>
      </c>
      <c r="B308" s="10" t="s">
        <v>69</v>
      </c>
      <c r="C308" s="10" t="s">
        <v>60</v>
      </c>
      <c r="D308" s="18" t="n">
        <v>118192</v>
      </c>
      <c r="E308" s="19" t="n">
        <v>0.751</v>
      </c>
      <c r="F308" s="10" t="n">
        <v>35</v>
      </c>
      <c r="G308" s="20" t="n">
        <v>0.297498682965959</v>
      </c>
      <c r="H308" s="10" t="n">
        <v>12</v>
      </c>
      <c r="I308" s="10" t="n">
        <v>0</v>
      </c>
    </row>
    <row r="309" customFormat="false" ht="15" hidden="false" customHeight="false" outlineLevel="0" collapsed="false">
      <c r="A309" s="10" t="s">
        <v>381</v>
      </c>
      <c r="B309" s="10" t="s">
        <v>62</v>
      </c>
      <c r="C309" s="10" t="s">
        <v>79</v>
      </c>
      <c r="D309" s="18" t="n">
        <v>36107</v>
      </c>
      <c r="E309" s="19" t="n">
        <v>0.226</v>
      </c>
      <c r="F309" s="10" t="n">
        <v>0</v>
      </c>
      <c r="G309" s="20" t="n">
        <v>0.273758210388737</v>
      </c>
      <c r="H309" s="10" t="n">
        <v>84</v>
      </c>
      <c r="I309" s="10" t="n">
        <v>1</v>
      </c>
    </row>
    <row r="310" customFormat="false" ht="15" hidden="false" customHeight="false" outlineLevel="0" collapsed="false">
      <c r="A310" s="10" t="s">
        <v>382</v>
      </c>
      <c r="B310" s="10" t="s">
        <v>76</v>
      </c>
      <c r="C310" s="10" t="s">
        <v>60</v>
      </c>
      <c r="D310" s="18" t="n">
        <v>49244</v>
      </c>
      <c r="E310" s="19" t="n">
        <v>0.623</v>
      </c>
      <c r="F310" s="10" t="n">
        <v>0</v>
      </c>
      <c r="G310" s="20" t="n">
        <v>0.151854349512549</v>
      </c>
      <c r="H310" s="10" t="n">
        <v>60</v>
      </c>
      <c r="I310" s="10" t="n">
        <v>0</v>
      </c>
    </row>
    <row r="311" customFormat="false" ht="15" hidden="false" customHeight="false" outlineLevel="0" collapsed="false">
      <c r="A311" s="10" t="s">
        <v>383</v>
      </c>
      <c r="B311" s="10" t="s">
        <v>56</v>
      </c>
      <c r="C311" s="10" t="s">
        <v>77</v>
      </c>
      <c r="D311" s="18" t="n">
        <v>41466</v>
      </c>
      <c r="E311" s="19" t="n">
        <v>0.285</v>
      </c>
      <c r="F311" s="10" t="n">
        <v>0</v>
      </c>
      <c r="G311" s="20" t="n">
        <v>0.240169869831282</v>
      </c>
      <c r="H311" s="10" t="n">
        <v>36</v>
      </c>
      <c r="I311" s="10" t="n">
        <v>1</v>
      </c>
    </row>
    <row r="312" customFormat="false" ht="15" hidden="false" customHeight="false" outlineLevel="0" collapsed="false">
      <c r="A312" s="10" t="s">
        <v>384</v>
      </c>
      <c r="B312" s="10" t="s">
        <v>53</v>
      </c>
      <c r="C312" s="10" t="s">
        <v>100</v>
      </c>
      <c r="D312" s="18" t="n">
        <v>11836</v>
      </c>
      <c r="E312" s="19" t="n">
        <v>0.24</v>
      </c>
      <c r="F312" s="10" t="n">
        <v>0</v>
      </c>
      <c r="G312" s="20" t="n">
        <v>0.405053273442141</v>
      </c>
      <c r="H312" s="10" t="n">
        <v>60</v>
      </c>
      <c r="I312" s="10" t="n">
        <v>0</v>
      </c>
    </row>
    <row r="313" customFormat="false" ht="15" hidden="false" customHeight="false" outlineLevel="0" collapsed="false">
      <c r="A313" s="10" t="s">
        <v>385</v>
      </c>
      <c r="B313" s="10" t="s">
        <v>88</v>
      </c>
      <c r="C313" s="10" t="s">
        <v>74</v>
      </c>
      <c r="D313" s="18" t="n">
        <v>156063</v>
      </c>
      <c r="E313" s="19" t="n">
        <v>0.673</v>
      </c>
      <c r="F313" s="10" t="n">
        <v>0</v>
      </c>
      <c r="G313" s="20" t="n">
        <v>0.173356714868593</v>
      </c>
      <c r="H313" s="10" t="n">
        <v>36</v>
      </c>
      <c r="I313" s="10" t="n">
        <v>0</v>
      </c>
    </row>
    <row r="314" customFormat="false" ht="15" hidden="false" customHeight="false" outlineLevel="0" collapsed="false">
      <c r="A314" s="10" t="s">
        <v>386</v>
      </c>
      <c r="B314" s="10" t="s">
        <v>67</v>
      </c>
      <c r="C314" s="10" t="s">
        <v>60</v>
      </c>
      <c r="D314" s="18" t="n">
        <v>50724</v>
      </c>
      <c r="E314" s="19" t="n">
        <v>0.617</v>
      </c>
      <c r="F314" s="10" t="n">
        <v>0</v>
      </c>
      <c r="G314" s="20" t="n">
        <v>0.244379135440452</v>
      </c>
      <c r="H314" s="10" t="n">
        <v>24</v>
      </c>
      <c r="I314" s="10" t="n">
        <v>0</v>
      </c>
    </row>
    <row r="315" customFormat="false" ht="15" hidden="false" customHeight="false" outlineLevel="0" collapsed="false">
      <c r="A315" s="10" t="s">
        <v>387</v>
      </c>
      <c r="B315" s="10" t="s">
        <v>59</v>
      </c>
      <c r="C315" s="10" t="s">
        <v>54</v>
      </c>
      <c r="D315" s="18" t="n">
        <v>166053</v>
      </c>
      <c r="E315" s="19" t="n">
        <v>0.776</v>
      </c>
      <c r="F315" s="10" t="n">
        <v>5</v>
      </c>
      <c r="G315" s="20" t="n">
        <v>0.17907488100363</v>
      </c>
      <c r="H315" s="10" t="n">
        <v>48</v>
      </c>
      <c r="I315" s="10" t="n">
        <v>0</v>
      </c>
    </row>
    <row r="316" customFormat="false" ht="15" hidden="false" customHeight="false" outlineLevel="0" collapsed="false">
      <c r="A316" s="10" t="s">
        <v>388</v>
      </c>
      <c r="B316" s="10" t="s">
        <v>83</v>
      </c>
      <c r="C316" s="10" t="s">
        <v>72</v>
      </c>
      <c r="D316" s="18" t="n">
        <v>169110</v>
      </c>
      <c r="E316" s="19" t="n">
        <v>0.05</v>
      </c>
      <c r="F316" s="10" t="n">
        <v>0</v>
      </c>
      <c r="G316" s="20" t="n">
        <v>0.193374499143773</v>
      </c>
      <c r="H316" s="10" t="n">
        <v>84</v>
      </c>
      <c r="I316" s="10" t="n">
        <v>0</v>
      </c>
    </row>
    <row r="317" customFormat="false" ht="15" hidden="false" customHeight="false" outlineLevel="0" collapsed="false">
      <c r="A317" s="10" t="s">
        <v>389</v>
      </c>
      <c r="B317" s="10" t="s">
        <v>56</v>
      </c>
      <c r="C317" s="10" t="s">
        <v>74</v>
      </c>
      <c r="D317" s="18" t="n">
        <v>42445</v>
      </c>
      <c r="E317" s="19" t="n">
        <v>0.727</v>
      </c>
      <c r="F317" s="10" t="n">
        <v>15</v>
      </c>
      <c r="G317" s="20" t="n">
        <v>0.271906948472409</v>
      </c>
      <c r="H317" s="10" t="n">
        <v>36</v>
      </c>
      <c r="I317" s="10" t="n">
        <v>0</v>
      </c>
    </row>
    <row r="318" customFormat="false" ht="15" hidden="false" customHeight="false" outlineLevel="0" collapsed="false">
      <c r="A318" s="10" t="s">
        <v>390</v>
      </c>
      <c r="B318" s="10" t="s">
        <v>56</v>
      </c>
      <c r="C318" s="10" t="s">
        <v>54</v>
      </c>
      <c r="D318" s="18" t="n">
        <v>31826</v>
      </c>
      <c r="E318" s="19" t="n">
        <v>0.573</v>
      </c>
      <c r="F318" s="10" t="n">
        <v>0</v>
      </c>
      <c r="G318" s="20" t="n">
        <v>0.228574396902492</v>
      </c>
      <c r="H318" s="10" t="n">
        <v>48</v>
      </c>
      <c r="I318" s="10" t="n">
        <v>1</v>
      </c>
    </row>
    <row r="319" customFormat="false" ht="15" hidden="false" customHeight="false" outlineLevel="0" collapsed="false">
      <c r="A319" s="10" t="s">
        <v>391</v>
      </c>
      <c r="B319" s="10" t="s">
        <v>83</v>
      </c>
      <c r="C319" s="10" t="s">
        <v>79</v>
      </c>
      <c r="D319" s="18" t="n">
        <v>54696</v>
      </c>
      <c r="E319" s="19" t="n">
        <v>0.506</v>
      </c>
      <c r="F319" s="10" t="n">
        <v>15</v>
      </c>
      <c r="G319" s="20" t="n">
        <v>0.176949302211378</v>
      </c>
      <c r="H319" s="10" t="n">
        <v>48</v>
      </c>
      <c r="I319" s="10" t="n">
        <v>0</v>
      </c>
    </row>
    <row r="320" customFormat="false" ht="15" hidden="false" customHeight="false" outlineLevel="0" collapsed="false">
      <c r="A320" s="10" t="s">
        <v>392</v>
      </c>
      <c r="B320" s="10" t="s">
        <v>62</v>
      </c>
      <c r="C320" s="10" t="s">
        <v>100</v>
      </c>
      <c r="D320" s="18" t="n">
        <v>21741</v>
      </c>
      <c r="E320" s="19" t="n">
        <v>0.221</v>
      </c>
      <c r="F320" s="10" t="n">
        <v>0</v>
      </c>
      <c r="G320" s="20" t="n">
        <v>0.001</v>
      </c>
      <c r="H320" s="10" t="n">
        <v>84</v>
      </c>
      <c r="I320" s="10" t="n">
        <v>0</v>
      </c>
    </row>
    <row r="321" customFormat="false" ht="15" hidden="false" customHeight="false" outlineLevel="0" collapsed="false">
      <c r="A321" s="10" t="s">
        <v>393</v>
      </c>
      <c r="B321" s="10" t="s">
        <v>53</v>
      </c>
      <c r="C321" s="10" t="s">
        <v>60</v>
      </c>
      <c r="D321" s="18" t="n">
        <v>135471</v>
      </c>
      <c r="E321" s="19" t="n">
        <v>0.496</v>
      </c>
      <c r="F321" s="10" t="n">
        <v>0</v>
      </c>
      <c r="G321" s="20" t="n">
        <v>0.168529545072271</v>
      </c>
      <c r="H321" s="10" t="n">
        <v>48</v>
      </c>
      <c r="I321" s="10" t="n">
        <v>0</v>
      </c>
    </row>
    <row r="322" customFormat="false" ht="15" hidden="false" customHeight="false" outlineLevel="0" collapsed="false">
      <c r="A322" s="10" t="s">
        <v>394</v>
      </c>
      <c r="B322" s="10" t="s">
        <v>64</v>
      </c>
      <c r="C322" s="10" t="s">
        <v>89</v>
      </c>
      <c r="D322" s="18" t="n">
        <v>519484</v>
      </c>
      <c r="E322" s="19" t="n">
        <v>0.167</v>
      </c>
      <c r="F322" s="10" t="n">
        <v>5</v>
      </c>
      <c r="G322" s="20" t="n">
        <v>0.108998453311874</v>
      </c>
      <c r="H322" s="10" t="n">
        <v>24</v>
      </c>
      <c r="I322" s="10" t="n">
        <v>0</v>
      </c>
    </row>
    <row r="323" customFormat="false" ht="15" hidden="false" customHeight="false" outlineLevel="0" collapsed="false">
      <c r="A323" s="10" t="s">
        <v>395</v>
      </c>
      <c r="B323" s="10" t="s">
        <v>88</v>
      </c>
      <c r="C323" s="10" t="s">
        <v>74</v>
      </c>
      <c r="D323" s="18" t="n">
        <v>130801</v>
      </c>
      <c r="E323" s="19" t="n">
        <v>0.366</v>
      </c>
      <c r="F323" s="10" t="n">
        <v>0</v>
      </c>
      <c r="G323" s="20" t="n">
        <v>0.0808568735112992</v>
      </c>
      <c r="H323" s="10" t="n">
        <v>48</v>
      </c>
      <c r="I323" s="10" t="n">
        <v>0</v>
      </c>
    </row>
    <row r="324" customFormat="false" ht="15" hidden="false" customHeight="false" outlineLevel="0" collapsed="false">
      <c r="A324" s="10" t="s">
        <v>396</v>
      </c>
      <c r="B324" s="10" t="s">
        <v>59</v>
      </c>
      <c r="C324" s="10" t="s">
        <v>57</v>
      </c>
      <c r="D324" s="18" t="n">
        <v>158425</v>
      </c>
      <c r="E324" s="19" t="n">
        <v>0.171</v>
      </c>
      <c r="F324" s="10" t="n">
        <v>0</v>
      </c>
      <c r="G324" s="20" t="n">
        <v>0.115104691940505</v>
      </c>
      <c r="H324" s="10" t="n">
        <v>60</v>
      </c>
      <c r="I324" s="10" t="n">
        <v>1</v>
      </c>
    </row>
    <row r="325" customFormat="false" ht="15" hidden="false" customHeight="false" outlineLevel="0" collapsed="false">
      <c r="A325" s="10" t="s">
        <v>397</v>
      </c>
      <c r="B325" s="10" t="s">
        <v>56</v>
      </c>
      <c r="C325" s="10" t="s">
        <v>70</v>
      </c>
      <c r="D325" s="18" t="n">
        <v>18054</v>
      </c>
      <c r="E325" s="19" t="n">
        <v>0.21</v>
      </c>
      <c r="F325" s="10" t="n">
        <v>0</v>
      </c>
      <c r="G325" s="20" t="n">
        <v>0.192383091072034</v>
      </c>
      <c r="H325" s="10" t="n">
        <v>36</v>
      </c>
      <c r="I325" s="10" t="n">
        <v>0</v>
      </c>
    </row>
    <row r="326" customFormat="false" ht="15" hidden="false" customHeight="false" outlineLevel="0" collapsed="false">
      <c r="A326" s="10" t="s">
        <v>398</v>
      </c>
      <c r="B326" s="10" t="s">
        <v>59</v>
      </c>
      <c r="C326" s="10" t="s">
        <v>57</v>
      </c>
      <c r="D326" s="18" t="n">
        <v>225139</v>
      </c>
      <c r="E326" s="19" t="n">
        <v>0.124</v>
      </c>
      <c r="F326" s="10" t="n">
        <v>0</v>
      </c>
      <c r="G326" s="20" t="n">
        <v>0.503295286344735</v>
      </c>
      <c r="H326" s="10" t="n">
        <v>60</v>
      </c>
      <c r="I326" s="10" t="n">
        <v>1</v>
      </c>
    </row>
    <row r="327" customFormat="false" ht="15" hidden="false" customHeight="false" outlineLevel="0" collapsed="false">
      <c r="A327" s="10" t="s">
        <v>399</v>
      </c>
      <c r="B327" s="10" t="s">
        <v>76</v>
      </c>
      <c r="C327" s="10" t="s">
        <v>54</v>
      </c>
      <c r="D327" s="18" t="n">
        <v>17597</v>
      </c>
      <c r="E327" s="19" t="n">
        <v>0.588</v>
      </c>
      <c r="F327" s="10" t="n">
        <v>0</v>
      </c>
      <c r="G327" s="20" t="n">
        <v>0.22309757470483</v>
      </c>
      <c r="H327" s="10" t="n">
        <v>60</v>
      </c>
      <c r="I327" s="10" t="n">
        <v>0</v>
      </c>
    </row>
    <row r="328" customFormat="false" ht="15" hidden="false" customHeight="false" outlineLevel="0" collapsed="false">
      <c r="A328" s="10" t="s">
        <v>400</v>
      </c>
      <c r="B328" s="10" t="s">
        <v>56</v>
      </c>
      <c r="C328" s="10" t="s">
        <v>72</v>
      </c>
      <c r="D328" s="18" t="n">
        <v>53855</v>
      </c>
      <c r="E328" s="19" t="n">
        <v>0.551</v>
      </c>
      <c r="F328" s="10" t="n">
        <v>0</v>
      </c>
      <c r="G328" s="20" t="n">
        <v>0.001</v>
      </c>
      <c r="H328" s="10" t="n">
        <v>48</v>
      </c>
      <c r="I328" s="10" t="n">
        <v>0</v>
      </c>
    </row>
    <row r="329" customFormat="false" ht="15" hidden="false" customHeight="false" outlineLevel="0" collapsed="false">
      <c r="A329" s="10" t="s">
        <v>401</v>
      </c>
      <c r="B329" s="10" t="s">
        <v>88</v>
      </c>
      <c r="C329" s="10" t="s">
        <v>74</v>
      </c>
      <c r="D329" s="18" t="n">
        <v>25169</v>
      </c>
      <c r="E329" s="19" t="n">
        <v>0.526</v>
      </c>
      <c r="F329" s="10" t="n">
        <v>15</v>
      </c>
      <c r="G329" s="20" t="n">
        <v>0.234402676926649</v>
      </c>
      <c r="H329" s="10" t="n">
        <v>60</v>
      </c>
      <c r="I329" s="10" t="n">
        <v>0</v>
      </c>
    </row>
    <row r="330" customFormat="false" ht="15" hidden="false" customHeight="false" outlineLevel="0" collapsed="false">
      <c r="A330" s="10" t="s">
        <v>402</v>
      </c>
      <c r="B330" s="10" t="s">
        <v>56</v>
      </c>
      <c r="C330" s="10" t="s">
        <v>74</v>
      </c>
      <c r="D330" s="18" t="n">
        <v>95751</v>
      </c>
      <c r="E330" s="19" t="n">
        <v>0.248</v>
      </c>
      <c r="F330" s="10" t="n">
        <v>0</v>
      </c>
      <c r="G330" s="20" t="n">
        <v>0.18732290018337</v>
      </c>
      <c r="H330" s="10" t="n">
        <v>60</v>
      </c>
      <c r="I330" s="10" t="n">
        <v>0</v>
      </c>
    </row>
    <row r="331" customFormat="false" ht="15" hidden="false" customHeight="false" outlineLevel="0" collapsed="false">
      <c r="A331" s="10" t="s">
        <v>403</v>
      </c>
      <c r="B331" s="10" t="s">
        <v>67</v>
      </c>
      <c r="C331" s="10" t="s">
        <v>74</v>
      </c>
      <c r="D331" s="18" t="n">
        <v>38295</v>
      </c>
      <c r="E331" s="19" t="n">
        <v>0.626</v>
      </c>
      <c r="F331" s="10" t="n">
        <v>35</v>
      </c>
      <c r="G331" s="20" t="n">
        <v>0.121170150000899</v>
      </c>
      <c r="H331" s="10" t="n">
        <v>24</v>
      </c>
      <c r="I331" s="10" t="n">
        <v>0</v>
      </c>
    </row>
    <row r="332" customFormat="false" ht="15" hidden="false" customHeight="false" outlineLevel="0" collapsed="false">
      <c r="A332" s="10" t="s">
        <v>404</v>
      </c>
      <c r="B332" s="10" t="s">
        <v>88</v>
      </c>
      <c r="C332" s="10" t="s">
        <v>72</v>
      </c>
      <c r="D332" s="18" t="n">
        <v>61984</v>
      </c>
      <c r="E332" s="19" t="n">
        <v>0.632</v>
      </c>
      <c r="F332" s="10" t="n">
        <v>0</v>
      </c>
      <c r="G332" s="20" t="n">
        <v>0.0911274307528376</v>
      </c>
      <c r="H332" s="10" t="n">
        <v>60</v>
      </c>
      <c r="I332" s="10" t="n">
        <v>0</v>
      </c>
    </row>
    <row r="333" customFormat="false" ht="15" hidden="false" customHeight="false" outlineLevel="0" collapsed="false">
      <c r="A333" s="10" t="s">
        <v>405</v>
      </c>
      <c r="B333" s="10" t="s">
        <v>88</v>
      </c>
      <c r="C333" s="10" t="s">
        <v>81</v>
      </c>
      <c r="D333" s="18" t="n">
        <v>11762</v>
      </c>
      <c r="E333" s="19" t="n">
        <v>0.18</v>
      </c>
      <c r="F333" s="10" t="n">
        <v>0</v>
      </c>
      <c r="G333" s="20" t="n">
        <v>0.124307057128502</v>
      </c>
      <c r="H333" s="10" t="n">
        <v>48</v>
      </c>
      <c r="I333" s="10" t="n">
        <v>0</v>
      </c>
    </row>
    <row r="334" customFormat="false" ht="15" hidden="false" customHeight="false" outlineLevel="0" collapsed="false">
      <c r="A334" s="10" t="s">
        <v>406</v>
      </c>
      <c r="B334" s="10" t="s">
        <v>76</v>
      </c>
      <c r="C334" s="10" t="s">
        <v>100</v>
      </c>
      <c r="D334" s="18" t="n">
        <v>52547</v>
      </c>
      <c r="E334" s="19" t="n">
        <v>0.239</v>
      </c>
      <c r="F334" s="10" t="n">
        <v>0</v>
      </c>
      <c r="G334" s="20" t="n">
        <v>0.053673708646629</v>
      </c>
      <c r="H334" s="10" t="n">
        <v>12</v>
      </c>
      <c r="I334" s="10" t="n">
        <v>0</v>
      </c>
    </row>
    <row r="335" customFormat="false" ht="15" hidden="false" customHeight="false" outlineLevel="0" collapsed="false">
      <c r="A335" s="10" t="s">
        <v>407</v>
      </c>
      <c r="B335" s="10" t="s">
        <v>76</v>
      </c>
      <c r="C335" s="10" t="s">
        <v>72</v>
      </c>
      <c r="D335" s="18" t="n">
        <v>16443</v>
      </c>
      <c r="E335" s="19" t="n">
        <v>0.233</v>
      </c>
      <c r="F335" s="10" t="n">
        <v>0</v>
      </c>
      <c r="G335" s="20" t="n">
        <v>0.14487901416036</v>
      </c>
      <c r="H335" s="10" t="n">
        <v>84</v>
      </c>
      <c r="I335" s="10" t="n">
        <v>0</v>
      </c>
    </row>
    <row r="336" customFormat="false" ht="15" hidden="false" customHeight="false" outlineLevel="0" collapsed="false">
      <c r="A336" s="10" t="s">
        <v>408</v>
      </c>
      <c r="B336" s="10" t="s">
        <v>67</v>
      </c>
      <c r="C336" s="10" t="s">
        <v>74</v>
      </c>
      <c r="D336" s="18" t="n">
        <v>27430</v>
      </c>
      <c r="E336" s="19" t="n">
        <v>0.745</v>
      </c>
      <c r="F336" s="10" t="n">
        <v>15</v>
      </c>
      <c r="G336" s="20" t="n">
        <v>0.0612076103970642</v>
      </c>
      <c r="H336" s="10" t="n">
        <v>48</v>
      </c>
      <c r="I336" s="10" t="n">
        <v>0</v>
      </c>
    </row>
    <row r="337" customFormat="false" ht="15" hidden="false" customHeight="false" outlineLevel="0" collapsed="false">
      <c r="A337" s="10" t="s">
        <v>409</v>
      </c>
      <c r="B337" s="10" t="s">
        <v>62</v>
      </c>
      <c r="C337" s="10" t="s">
        <v>54</v>
      </c>
      <c r="D337" s="18" t="n">
        <v>298868</v>
      </c>
      <c r="E337" s="19" t="n">
        <v>0.344</v>
      </c>
      <c r="F337" s="10" t="n">
        <v>0</v>
      </c>
      <c r="G337" s="20" t="n">
        <v>0.182628995289188</v>
      </c>
      <c r="H337" s="10" t="n">
        <v>60</v>
      </c>
      <c r="I337" s="10" t="n">
        <v>0</v>
      </c>
    </row>
    <row r="338" customFormat="false" ht="15" hidden="false" customHeight="false" outlineLevel="0" collapsed="false">
      <c r="A338" s="10" t="s">
        <v>410</v>
      </c>
      <c r="B338" s="10" t="s">
        <v>64</v>
      </c>
      <c r="C338" s="10" t="s">
        <v>81</v>
      </c>
      <c r="D338" s="18" t="n">
        <v>31013</v>
      </c>
      <c r="E338" s="19" t="n">
        <v>0.676</v>
      </c>
      <c r="F338" s="10" t="n">
        <v>5</v>
      </c>
      <c r="G338" s="20" t="n">
        <v>0.001</v>
      </c>
      <c r="H338" s="10" t="n">
        <v>12</v>
      </c>
      <c r="I338" s="10" t="n">
        <v>0</v>
      </c>
    </row>
    <row r="339" customFormat="false" ht="15" hidden="false" customHeight="false" outlineLevel="0" collapsed="false">
      <c r="A339" s="10" t="s">
        <v>411</v>
      </c>
      <c r="B339" s="10" t="s">
        <v>76</v>
      </c>
      <c r="C339" s="10" t="s">
        <v>60</v>
      </c>
      <c r="D339" s="18" t="n">
        <v>10489</v>
      </c>
      <c r="E339" s="19" t="n">
        <v>0.198</v>
      </c>
      <c r="F339" s="10" t="n">
        <v>5</v>
      </c>
      <c r="G339" s="20" t="n">
        <v>0.195660904650998</v>
      </c>
      <c r="H339" s="10" t="n">
        <v>60</v>
      </c>
      <c r="I339" s="10" t="n">
        <v>0</v>
      </c>
    </row>
    <row r="340" customFormat="false" ht="15" hidden="false" customHeight="false" outlineLevel="0" collapsed="false">
      <c r="A340" s="10" t="s">
        <v>412</v>
      </c>
      <c r="B340" s="10" t="s">
        <v>69</v>
      </c>
      <c r="C340" s="10" t="s">
        <v>74</v>
      </c>
      <c r="D340" s="18" t="n">
        <v>53509</v>
      </c>
      <c r="E340" s="19" t="n">
        <v>0.766</v>
      </c>
      <c r="F340" s="10" t="n">
        <v>0</v>
      </c>
      <c r="G340" s="20" t="n">
        <v>0.200560156874797</v>
      </c>
      <c r="H340" s="10" t="n">
        <v>36</v>
      </c>
      <c r="I340" s="10" t="n">
        <v>0</v>
      </c>
    </row>
    <row r="341" customFormat="false" ht="15" hidden="false" customHeight="false" outlineLevel="0" collapsed="false">
      <c r="A341" s="10" t="s">
        <v>413</v>
      </c>
      <c r="B341" s="10" t="s">
        <v>53</v>
      </c>
      <c r="C341" s="10" t="s">
        <v>72</v>
      </c>
      <c r="D341" s="18" t="n">
        <v>52867</v>
      </c>
      <c r="E341" s="19" t="n">
        <v>0.777</v>
      </c>
      <c r="F341" s="10" t="n">
        <v>0</v>
      </c>
      <c r="G341" s="20" t="n">
        <v>0.0483427554910831</v>
      </c>
      <c r="H341" s="10" t="n">
        <v>36</v>
      </c>
      <c r="I341" s="10" t="n">
        <v>0</v>
      </c>
    </row>
    <row r="342" customFormat="false" ht="15" hidden="false" customHeight="false" outlineLevel="0" collapsed="false">
      <c r="A342" s="10" t="s">
        <v>414</v>
      </c>
      <c r="B342" s="10" t="s">
        <v>67</v>
      </c>
      <c r="C342" s="10" t="s">
        <v>79</v>
      </c>
      <c r="D342" s="18" t="n">
        <v>155891</v>
      </c>
      <c r="E342" s="19" t="n">
        <v>0.474</v>
      </c>
      <c r="F342" s="10" t="n">
        <v>35</v>
      </c>
      <c r="G342" s="20" t="n">
        <v>0.338446312137724</v>
      </c>
      <c r="H342" s="10" t="n">
        <v>120</v>
      </c>
      <c r="I342" s="10" t="n">
        <v>0</v>
      </c>
    </row>
    <row r="343" customFormat="false" ht="15" hidden="false" customHeight="false" outlineLevel="0" collapsed="false">
      <c r="A343" s="10" t="s">
        <v>415</v>
      </c>
      <c r="B343" s="10" t="s">
        <v>69</v>
      </c>
      <c r="C343" s="10" t="s">
        <v>54</v>
      </c>
      <c r="D343" s="18" t="n">
        <v>28889</v>
      </c>
      <c r="E343" s="19" t="n">
        <v>0.085</v>
      </c>
      <c r="F343" s="10" t="n">
        <v>0</v>
      </c>
      <c r="G343" s="20" t="n">
        <v>0.0081438407980566</v>
      </c>
      <c r="H343" s="10" t="n">
        <v>84</v>
      </c>
      <c r="I343" s="10" t="n">
        <v>0</v>
      </c>
    </row>
    <row r="344" customFormat="false" ht="15" hidden="false" customHeight="false" outlineLevel="0" collapsed="false">
      <c r="A344" s="10" t="s">
        <v>416</v>
      </c>
      <c r="B344" s="10" t="s">
        <v>56</v>
      </c>
      <c r="C344" s="10" t="s">
        <v>57</v>
      </c>
      <c r="D344" s="18" t="n">
        <v>260694</v>
      </c>
      <c r="E344" s="19" t="n">
        <v>0.32</v>
      </c>
      <c r="F344" s="10" t="n">
        <v>0</v>
      </c>
      <c r="G344" s="20" t="n">
        <v>0.001</v>
      </c>
      <c r="H344" s="10" t="n">
        <v>120</v>
      </c>
      <c r="I344" s="10" t="n">
        <v>0</v>
      </c>
    </row>
    <row r="345" customFormat="false" ht="15" hidden="false" customHeight="false" outlineLevel="0" collapsed="false">
      <c r="A345" s="10" t="s">
        <v>417</v>
      </c>
      <c r="B345" s="10" t="s">
        <v>56</v>
      </c>
      <c r="C345" s="10" t="s">
        <v>70</v>
      </c>
      <c r="D345" s="18" t="n">
        <v>81643</v>
      </c>
      <c r="E345" s="19" t="n">
        <v>0.21</v>
      </c>
      <c r="F345" s="10" t="n">
        <v>0</v>
      </c>
      <c r="G345" s="20" t="n">
        <v>0.0344690883678157</v>
      </c>
      <c r="H345" s="10" t="n">
        <v>72</v>
      </c>
      <c r="I345" s="10" t="n">
        <v>0</v>
      </c>
    </row>
    <row r="346" customFormat="false" ht="15" hidden="false" customHeight="false" outlineLevel="0" collapsed="false">
      <c r="A346" s="10" t="s">
        <v>418</v>
      </c>
      <c r="B346" s="10" t="s">
        <v>56</v>
      </c>
      <c r="C346" s="10" t="s">
        <v>79</v>
      </c>
      <c r="D346" s="18" t="n">
        <v>87245</v>
      </c>
      <c r="E346" s="19" t="n">
        <v>0.627</v>
      </c>
      <c r="F346" s="10" t="n">
        <v>0</v>
      </c>
      <c r="G346" s="20" t="n">
        <v>0.147915874430783</v>
      </c>
      <c r="H346" s="10" t="n">
        <v>72</v>
      </c>
      <c r="I346" s="10" t="n">
        <v>0</v>
      </c>
    </row>
    <row r="347" customFormat="false" ht="15" hidden="false" customHeight="false" outlineLevel="0" collapsed="false">
      <c r="A347" s="10" t="s">
        <v>419</v>
      </c>
      <c r="B347" s="10" t="s">
        <v>59</v>
      </c>
      <c r="C347" s="10" t="s">
        <v>89</v>
      </c>
      <c r="D347" s="18" t="n">
        <v>96244</v>
      </c>
      <c r="E347" s="19" t="n">
        <v>0.179</v>
      </c>
      <c r="F347" s="10" t="n">
        <v>0</v>
      </c>
      <c r="G347" s="20" t="n">
        <v>0.146990401034657</v>
      </c>
      <c r="H347" s="10" t="n">
        <v>60</v>
      </c>
      <c r="I347" s="10" t="n">
        <v>0</v>
      </c>
    </row>
    <row r="348" customFormat="false" ht="15" hidden="false" customHeight="false" outlineLevel="0" collapsed="false">
      <c r="A348" s="10" t="s">
        <v>420</v>
      </c>
      <c r="B348" s="10" t="s">
        <v>64</v>
      </c>
      <c r="C348" s="10" t="s">
        <v>60</v>
      </c>
      <c r="D348" s="18" t="n">
        <v>34091</v>
      </c>
      <c r="E348" s="19" t="n">
        <v>0.389</v>
      </c>
      <c r="F348" s="10" t="n">
        <v>0</v>
      </c>
      <c r="G348" s="20" t="n">
        <v>0.208860674827994</v>
      </c>
      <c r="H348" s="10" t="n">
        <v>84</v>
      </c>
      <c r="I348" s="10" t="n">
        <v>0</v>
      </c>
    </row>
    <row r="349" customFormat="false" ht="15" hidden="false" customHeight="false" outlineLevel="0" collapsed="false">
      <c r="A349" s="10" t="s">
        <v>421</v>
      </c>
      <c r="B349" s="10" t="s">
        <v>69</v>
      </c>
      <c r="C349" s="10" t="s">
        <v>74</v>
      </c>
      <c r="D349" s="18" t="n">
        <v>65615</v>
      </c>
      <c r="E349" s="19" t="n">
        <v>0.206</v>
      </c>
      <c r="F349" s="10" t="n">
        <v>0</v>
      </c>
      <c r="G349" s="20" t="n">
        <v>0.153742439197985</v>
      </c>
      <c r="H349" s="10" t="n">
        <v>84</v>
      </c>
      <c r="I349" s="10" t="n">
        <v>0</v>
      </c>
    </row>
    <row r="350" customFormat="false" ht="15" hidden="false" customHeight="false" outlineLevel="0" collapsed="false">
      <c r="A350" s="10" t="s">
        <v>422</v>
      </c>
      <c r="B350" s="10" t="s">
        <v>67</v>
      </c>
      <c r="C350" s="10" t="s">
        <v>74</v>
      </c>
      <c r="D350" s="18" t="n">
        <v>36510</v>
      </c>
      <c r="E350" s="19" t="n">
        <v>0.484</v>
      </c>
      <c r="F350" s="10" t="n">
        <v>0</v>
      </c>
      <c r="G350" s="20" t="n">
        <v>0.108018325248377</v>
      </c>
      <c r="H350" s="10" t="n">
        <v>24</v>
      </c>
      <c r="I350" s="10" t="n">
        <v>1</v>
      </c>
    </row>
    <row r="351" customFormat="false" ht="15" hidden="false" customHeight="false" outlineLevel="0" collapsed="false">
      <c r="A351" s="10" t="s">
        <v>423</v>
      </c>
      <c r="B351" s="10" t="s">
        <v>64</v>
      </c>
      <c r="C351" s="10" t="s">
        <v>72</v>
      </c>
      <c r="D351" s="18" t="n">
        <v>107709</v>
      </c>
      <c r="E351" s="19" t="n">
        <v>0.346</v>
      </c>
      <c r="F351" s="10" t="n">
        <v>0</v>
      </c>
      <c r="G351" s="20" t="n">
        <v>0.147824279914363</v>
      </c>
      <c r="H351" s="10" t="n">
        <v>24</v>
      </c>
      <c r="I351" s="10" t="n">
        <v>0</v>
      </c>
    </row>
    <row r="352" customFormat="false" ht="15" hidden="false" customHeight="false" outlineLevel="0" collapsed="false">
      <c r="A352" s="10" t="s">
        <v>424</v>
      </c>
      <c r="B352" s="10" t="s">
        <v>67</v>
      </c>
      <c r="C352" s="10" t="s">
        <v>79</v>
      </c>
      <c r="D352" s="18" t="n">
        <v>41388</v>
      </c>
      <c r="E352" s="19" t="n">
        <v>0.407</v>
      </c>
      <c r="F352" s="10" t="n">
        <v>0</v>
      </c>
      <c r="G352" s="20" t="n">
        <v>0.205430941336223</v>
      </c>
      <c r="H352" s="10" t="n">
        <v>48</v>
      </c>
      <c r="I352" s="10" t="n">
        <v>0</v>
      </c>
    </row>
    <row r="353" customFormat="false" ht="15" hidden="false" customHeight="false" outlineLevel="0" collapsed="false">
      <c r="A353" s="10" t="s">
        <v>425</v>
      </c>
      <c r="B353" s="10" t="s">
        <v>83</v>
      </c>
      <c r="C353" s="10" t="s">
        <v>60</v>
      </c>
      <c r="D353" s="18" t="n">
        <v>16364</v>
      </c>
      <c r="E353" s="19" t="n">
        <v>0.197</v>
      </c>
      <c r="F353" s="10" t="n">
        <v>0</v>
      </c>
      <c r="G353" s="20" t="n">
        <v>0.157624502324741</v>
      </c>
      <c r="H353" s="10" t="n">
        <v>84</v>
      </c>
      <c r="I353" s="10" t="n">
        <v>0</v>
      </c>
    </row>
    <row r="354" customFormat="false" ht="15" hidden="false" customHeight="false" outlineLevel="0" collapsed="false">
      <c r="A354" s="10" t="s">
        <v>426</v>
      </c>
      <c r="B354" s="10" t="s">
        <v>69</v>
      </c>
      <c r="C354" s="10" t="s">
        <v>98</v>
      </c>
      <c r="D354" s="18" t="n">
        <v>574827</v>
      </c>
      <c r="E354" s="19" t="n">
        <v>0.306</v>
      </c>
      <c r="F354" s="10" t="n">
        <v>0</v>
      </c>
      <c r="G354" s="20" t="n">
        <v>0.228157009892663</v>
      </c>
      <c r="H354" s="10" t="n">
        <v>72</v>
      </c>
      <c r="I354" s="10" t="n">
        <v>0</v>
      </c>
    </row>
    <row r="355" customFormat="false" ht="15" hidden="false" customHeight="false" outlineLevel="0" collapsed="false">
      <c r="A355" s="10" t="s">
        <v>427</v>
      </c>
      <c r="B355" s="10" t="s">
        <v>69</v>
      </c>
      <c r="C355" s="10" t="s">
        <v>81</v>
      </c>
      <c r="D355" s="18" t="n">
        <v>63166</v>
      </c>
      <c r="E355" s="19" t="n">
        <v>0.119</v>
      </c>
      <c r="F355" s="10" t="n">
        <v>0</v>
      </c>
      <c r="G355" s="20" t="n">
        <v>0.155153652281508</v>
      </c>
      <c r="H355" s="10" t="n">
        <v>60</v>
      </c>
      <c r="I355" s="10" t="n">
        <v>0</v>
      </c>
    </row>
    <row r="356" customFormat="false" ht="15" hidden="false" customHeight="false" outlineLevel="0" collapsed="false">
      <c r="A356" s="10" t="s">
        <v>428</v>
      </c>
      <c r="B356" s="10" t="s">
        <v>88</v>
      </c>
      <c r="C356" s="10" t="s">
        <v>98</v>
      </c>
      <c r="D356" s="18" t="n">
        <v>128841</v>
      </c>
      <c r="E356" s="19" t="n">
        <v>0.361</v>
      </c>
      <c r="F356" s="10" t="n">
        <v>0</v>
      </c>
      <c r="G356" s="20" t="n">
        <v>0.1568481244176</v>
      </c>
      <c r="H356" s="10" t="n">
        <v>24</v>
      </c>
      <c r="I356" s="10" t="n">
        <v>0</v>
      </c>
    </row>
    <row r="357" customFormat="false" ht="15" hidden="false" customHeight="false" outlineLevel="0" collapsed="false">
      <c r="A357" s="10" t="s">
        <v>429</v>
      </c>
      <c r="B357" s="10" t="s">
        <v>83</v>
      </c>
      <c r="C357" s="10" t="s">
        <v>77</v>
      </c>
      <c r="D357" s="18" t="n">
        <v>97307</v>
      </c>
      <c r="E357" s="19" t="n">
        <v>0.687</v>
      </c>
      <c r="F357" s="10" t="n">
        <v>0</v>
      </c>
      <c r="G357" s="20" t="n">
        <v>0.163541178279196</v>
      </c>
      <c r="H357" s="10" t="n">
        <v>36</v>
      </c>
      <c r="I357" s="10" t="n">
        <v>1</v>
      </c>
    </row>
    <row r="358" customFormat="false" ht="15" hidden="false" customHeight="false" outlineLevel="0" collapsed="false">
      <c r="A358" s="10" t="s">
        <v>430</v>
      </c>
      <c r="B358" s="10" t="s">
        <v>64</v>
      </c>
      <c r="C358" s="10" t="s">
        <v>54</v>
      </c>
      <c r="D358" s="18" t="n">
        <v>112633</v>
      </c>
      <c r="E358" s="19" t="n">
        <v>0.224</v>
      </c>
      <c r="F358" s="10" t="n">
        <v>0</v>
      </c>
      <c r="G358" s="20" t="n">
        <v>0.102959560261585</v>
      </c>
      <c r="H358" s="10" t="n">
        <v>36</v>
      </c>
      <c r="I358" s="10" t="n">
        <v>0</v>
      </c>
    </row>
    <row r="359" customFormat="false" ht="15" hidden="false" customHeight="false" outlineLevel="0" collapsed="false">
      <c r="A359" s="10" t="s">
        <v>431</v>
      </c>
      <c r="B359" s="10" t="s">
        <v>56</v>
      </c>
      <c r="C359" s="10" t="s">
        <v>54</v>
      </c>
      <c r="D359" s="18" t="n">
        <v>22828</v>
      </c>
      <c r="E359" s="19" t="n">
        <v>0.634</v>
      </c>
      <c r="F359" s="10" t="n">
        <v>0</v>
      </c>
      <c r="G359" s="20" t="n">
        <v>0.210241709607988</v>
      </c>
      <c r="H359" s="10" t="n">
        <v>84</v>
      </c>
      <c r="I359" s="10" t="n">
        <v>0</v>
      </c>
    </row>
    <row r="360" customFormat="false" ht="15" hidden="false" customHeight="false" outlineLevel="0" collapsed="false">
      <c r="A360" s="10" t="s">
        <v>432</v>
      </c>
      <c r="B360" s="10" t="s">
        <v>53</v>
      </c>
      <c r="C360" s="10" t="s">
        <v>54</v>
      </c>
      <c r="D360" s="18" t="n">
        <v>55567</v>
      </c>
      <c r="E360" s="19" t="n">
        <v>0.159</v>
      </c>
      <c r="F360" s="10" t="n">
        <v>0</v>
      </c>
      <c r="G360" s="20" t="n">
        <v>0.189870258256289</v>
      </c>
      <c r="H360" s="10" t="n">
        <v>60</v>
      </c>
      <c r="I360" s="10" t="n">
        <v>1</v>
      </c>
    </row>
    <row r="361" customFormat="false" ht="15" hidden="false" customHeight="false" outlineLevel="0" collapsed="false">
      <c r="A361" s="10" t="s">
        <v>433</v>
      </c>
      <c r="B361" s="10" t="s">
        <v>53</v>
      </c>
      <c r="C361" s="10" t="s">
        <v>74</v>
      </c>
      <c r="D361" s="18" t="n">
        <v>105367</v>
      </c>
      <c r="E361" s="19" t="n">
        <v>0.549</v>
      </c>
      <c r="F361" s="10" t="n">
        <v>0</v>
      </c>
      <c r="G361" s="20" t="n">
        <v>0.139714808512441</v>
      </c>
      <c r="H361" s="10" t="n">
        <v>60</v>
      </c>
      <c r="I361" s="10" t="n">
        <v>1</v>
      </c>
    </row>
    <row r="362" customFormat="false" ht="15" hidden="false" customHeight="false" outlineLevel="0" collapsed="false">
      <c r="A362" s="10" t="s">
        <v>434</v>
      </c>
      <c r="B362" s="10" t="s">
        <v>53</v>
      </c>
      <c r="C362" s="10" t="s">
        <v>74</v>
      </c>
      <c r="D362" s="18" t="n">
        <v>31283</v>
      </c>
      <c r="E362" s="19" t="n">
        <v>0.253</v>
      </c>
      <c r="F362" s="10" t="n">
        <v>0</v>
      </c>
      <c r="G362" s="20" t="n">
        <v>0.183237118547661</v>
      </c>
      <c r="H362" s="10" t="n">
        <v>48</v>
      </c>
      <c r="I362" s="10" t="n">
        <v>0</v>
      </c>
    </row>
    <row r="363" customFormat="false" ht="15" hidden="false" customHeight="false" outlineLevel="0" collapsed="false">
      <c r="A363" s="10" t="s">
        <v>435</v>
      </c>
      <c r="B363" s="10" t="s">
        <v>59</v>
      </c>
      <c r="C363" s="10" t="s">
        <v>57</v>
      </c>
      <c r="D363" s="18" t="n">
        <v>67713</v>
      </c>
      <c r="E363" s="19" t="n">
        <v>0.194</v>
      </c>
      <c r="F363" s="10" t="n">
        <v>0</v>
      </c>
      <c r="G363" s="20" t="n">
        <v>0.0963813547518835</v>
      </c>
      <c r="H363" s="10" t="n">
        <v>84</v>
      </c>
      <c r="I363" s="10" t="n">
        <v>0</v>
      </c>
    </row>
    <row r="364" customFormat="false" ht="15" hidden="false" customHeight="false" outlineLevel="0" collapsed="false">
      <c r="A364" s="10" t="s">
        <v>436</v>
      </c>
      <c r="B364" s="10" t="s">
        <v>59</v>
      </c>
      <c r="C364" s="10" t="s">
        <v>100</v>
      </c>
      <c r="D364" s="18" t="n">
        <v>62178</v>
      </c>
      <c r="E364" s="19" t="n">
        <v>0.636</v>
      </c>
      <c r="F364" s="10" t="n">
        <v>95</v>
      </c>
      <c r="G364" s="20" t="n">
        <v>0.450900154223794</v>
      </c>
      <c r="H364" s="10" t="n">
        <v>72</v>
      </c>
      <c r="I364" s="10" t="n">
        <v>0</v>
      </c>
    </row>
    <row r="365" customFormat="false" ht="15" hidden="false" customHeight="false" outlineLevel="0" collapsed="false">
      <c r="A365" s="10" t="s">
        <v>437</v>
      </c>
      <c r="B365" s="10" t="s">
        <v>59</v>
      </c>
      <c r="C365" s="10" t="s">
        <v>60</v>
      </c>
      <c r="D365" s="18" t="n">
        <v>97658</v>
      </c>
      <c r="E365" s="19" t="n">
        <v>0.547</v>
      </c>
      <c r="F365" s="10" t="n">
        <v>35</v>
      </c>
      <c r="G365" s="20" t="n">
        <v>0.271839951531381</v>
      </c>
      <c r="H365" s="10" t="n">
        <v>60</v>
      </c>
      <c r="I365" s="10" t="n">
        <v>0</v>
      </c>
    </row>
    <row r="366" customFormat="false" ht="15" hidden="false" customHeight="false" outlineLevel="0" collapsed="false">
      <c r="A366" s="10" t="s">
        <v>438</v>
      </c>
      <c r="B366" s="10" t="s">
        <v>67</v>
      </c>
      <c r="C366" s="10" t="s">
        <v>100</v>
      </c>
      <c r="D366" s="18" t="n">
        <v>52647</v>
      </c>
      <c r="E366" s="19" t="n">
        <v>0.222</v>
      </c>
      <c r="F366" s="10" t="n">
        <v>0</v>
      </c>
      <c r="G366" s="20" t="n">
        <v>0.205739370452014</v>
      </c>
      <c r="H366" s="10" t="n">
        <v>72</v>
      </c>
      <c r="I366" s="10" t="n">
        <v>0</v>
      </c>
    </row>
    <row r="367" customFormat="false" ht="15" hidden="false" customHeight="false" outlineLevel="0" collapsed="false">
      <c r="A367" s="10" t="s">
        <v>439</v>
      </c>
      <c r="B367" s="10" t="s">
        <v>88</v>
      </c>
      <c r="C367" s="10" t="s">
        <v>74</v>
      </c>
      <c r="D367" s="18" t="n">
        <v>138121</v>
      </c>
      <c r="E367" s="19" t="n">
        <v>0.261</v>
      </c>
      <c r="F367" s="10" t="n">
        <v>0</v>
      </c>
      <c r="G367" s="20" t="n">
        <v>0.32198604201111</v>
      </c>
      <c r="H367" s="10" t="n">
        <v>84</v>
      </c>
      <c r="I367" s="10" t="n">
        <v>1</v>
      </c>
    </row>
    <row r="368" customFormat="false" ht="15" hidden="false" customHeight="false" outlineLevel="0" collapsed="false">
      <c r="A368" s="10" t="s">
        <v>440</v>
      </c>
      <c r="B368" s="10" t="s">
        <v>88</v>
      </c>
      <c r="C368" s="10" t="s">
        <v>89</v>
      </c>
      <c r="D368" s="18" t="n">
        <v>134424</v>
      </c>
      <c r="E368" s="19" t="n">
        <v>0.319</v>
      </c>
      <c r="F368" s="10" t="n">
        <v>5</v>
      </c>
      <c r="G368" s="20" t="n">
        <v>0.157594887345631</v>
      </c>
      <c r="H368" s="10" t="n">
        <v>72</v>
      </c>
      <c r="I368" s="10" t="n">
        <v>1</v>
      </c>
    </row>
    <row r="369" customFormat="false" ht="15" hidden="false" customHeight="false" outlineLevel="0" collapsed="false">
      <c r="A369" s="10" t="s">
        <v>441</v>
      </c>
      <c r="B369" s="10" t="s">
        <v>64</v>
      </c>
      <c r="C369" s="10" t="s">
        <v>60</v>
      </c>
      <c r="D369" s="18" t="n">
        <v>33926</v>
      </c>
      <c r="E369" s="19" t="n">
        <v>0.616</v>
      </c>
      <c r="F369" s="10" t="n">
        <v>0</v>
      </c>
      <c r="G369" s="20" t="n">
        <v>0.236140033749279</v>
      </c>
      <c r="H369" s="10" t="n">
        <v>48</v>
      </c>
      <c r="I369" s="10" t="n">
        <v>0</v>
      </c>
    </row>
    <row r="370" customFormat="false" ht="15" hidden="false" customHeight="false" outlineLevel="0" collapsed="false">
      <c r="A370" s="10" t="s">
        <v>442</v>
      </c>
      <c r="B370" s="10" t="s">
        <v>62</v>
      </c>
      <c r="C370" s="10" t="s">
        <v>74</v>
      </c>
      <c r="D370" s="18" t="n">
        <v>575287</v>
      </c>
      <c r="E370" s="19" t="n">
        <v>0.68</v>
      </c>
      <c r="F370" s="10" t="n">
        <v>0</v>
      </c>
      <c r="G370" s="20" t="n">
        <v>0.131241565865112</v>
      </c>
      <c r="H370" s="10" t="n">
        <v>12</v>
      </c>
      <c r="I370" s="10" t="n">
        <v>0</v>
      </c>
    </row>
    <row r="371" customFormat="false" ht="15" hidden="false" customHeight="false" outlineLevel="0" collapsed="false">
      <c r="A371" s="10" t="s">
        <v>443</v>
      </c>
      <c r="B371" s="10" t="s">
        <v>62</v>
      </c>
      <c r="C371" s="10" t="s">
        <v>79</v>
      </c>
      <c r="D371" s="18" t="n">
        <v>27930</v>
      </c>
      <c r="E371" s="19" t="n">
        <v>0.855</v>
      </c>
      <c r="F371" s="10" t="n">
        <v>0</v>
      </c>
      <c r="G371" s="20" t="n">
        <v>0.388550515945109</v>
      </c>
      <c r="H371" s="10" t="n">
        <v>60</v>
      </c>
      <c r="I371" s="10" t="n">
        <v>1</v>
      </c>
    </row>
    <row r="372" customFormat="false" ht="15" hidden="false" customHeight="false" outlineLevel="0" collapsed="false">
      <c r="A372" s="10" t="s">
        <v>444</v>
      </c>
      <c r="B372" s="10" t="s">
        <v>76</v>
      </c>
      <c r="C372" s="10" t="s">
        <v>57</v>
      </c>
      <c r="D372" s="18" t="n">
        <v>68193</v>
      </c>
      <c r="E372" s="19" t="n">
        <v>0.304</v>
      </c>
      <c r="F372" s="10" t="n">
        <v>0</v>
      </c>
      <c r="G372" s="20" t="n">
        <v>0.152893301471148</v>
      </c>
      <c r="H372" s="10" t="n">
        <v>36</v>
      </c>
      <c r="I372" s="10" t="n">
        <v>0</v>
      </c>
    </row>
    <row r="373" customFormat="false" ht="15" hidden="false" customHeight="false" outlineLevel="0" collapsed="false">
      <c r="A373" s="10" t="s">
        <v>445</v>
      </c>
      <c r="B373" s="10" t="s">
        <v>83</v>
      </c>
      <c r="C373" s="10" t="s">
        <v>70</v>
      </c>
      <c r="D373" s="18" t="n">
        <v>26848</v>
      </c>
      <c r="E373" s="19" t="n">
        <v>0.212</v>
      </c>
      <c r="F373" s="10" t="n">
        <v>0</v>
      </c>
      <c r="G373" s="20" t="n">
        <v>0.151650074406278</v>
      </c>
      <c r="H373" s="10" t="n">
        <v>36</v>
      </c>
      <c r="I373" s="10" t="n">
        <v>0</v>
      </c>
    </row>
    <row r="374" customFormat="false" ht="15" hidden="false" customHeight="false" outlineLevel="0" collapsed="false">
      <c r="A374" s="10" t="s">
        <v>446</v>
      </c>
      <c r="B374" s="10" t="s">
        <v>53</v>
      </c>
      <c r="C374" s="10" t="s">
        <v>81</v>
      </c>
      <c r="D374" s="18" t="n">
        <v>134291</v>
      </c>
      <c r="E374" s="19" t="n">
        <v>0.693</v>
      </c>
      <c r="F374" s="10" t="n">
        <v>0</v>
      </c>
      <c r="G374" s="20" t="n">
        <v>0.179868222066652</v>
      </c>
      <c r="H374" s="10" t="n">
        <v>12</v>
      </c>
      <c r="I374" s="10" t="n">
        <v>0</v>
      </c>
    </row>
    <row r="375" customFormat="false" ht="15" hidden="false" customHeight="false" outlineLevel="0" collapsed="false">
      <c r="A375" s="10" t="s">
        <v>447</v>
      </c>
      <c r="B375" s="10" t="s">
        <v>53</v>
      </c>
      <c r="C375" s="10" t="s">
        <v>89</v>
      </c>
      <c r="D375" s="18" t="n">
        <v>126970</v>
      </c>
      <c r="E375" s="19" t="n">
        <v>0.418</v>
      </c>
      <c r="F375" s="10" t="n">
        <v>0</v>
      </c>
      <c r="G375" s="20" t="n">
        <v>0.300211257209831</v>
      </c>
      <c r="H375" s="10" t="n">
        <v>60</v>
      </c>
      <c r="I375" s="10" t="n">
        <v>1</v>
      </c>
    </row>
    <row r="376" customFormat="false" ht="15" hidden="false" customHeight="false" outlineLevel="0" collapsed="false">
      <c r="A376" s="10" t="s">
        <v>448</v>
      </c>
      <c r="B376" s="10" t="s">
        <v>83</v>
      </c>
      <c r="C376" s="10" t="s">
        <v>74</v>
      </c>
      <c r="D376" s="18" t="n">
        <v>109500</v>
      </c>
      <c r="E376" s="19" t="n">
        <v>0.623</v>
      </c>
      <c r="F376" s="10" t="n">
        <v>5</v>
      </c>
      <c r="G376" s="20" t="n">
        <v>0.637754977210696</v>
      </c>
      <c r="H376" s="10" t="n">
        <v>84</v>
      </c>
      <c r="I376" s="10" t="n">
        <v>1</v>
      </c>
    </row>
    <row r="377" customFormat="false" ht="15" hidden="false" customHeight="false" outlineLevel="0" collapsed="false">
      <c r="A377" s="10" t="s">
        <v>449</v>
      </c>
      <c r="B377" s="10" t="s">
        <v>67</v>
      </c>
      <c r="C377" s="10" t="s">
        <v>72</v>
      </c>
      <c r="D377" s="18" t="n">
        <v>5815</v>
      </c>
      <c r="E377" s="19" t="n">
        <v>0.05</v>
      </c>
      <c r="F377" s="10" t="n">
        <v>0</v>
      </c>
      <c r="G377" s="20" t="n">
        <v>0.0953560386288215</v>
      </c>
      <c r="H377" s="10" t="n">
        <v>24</v>
      </c>
      <c r="I377" s="10" t="n">
        <v>0</v>
      </c>
    </row>
    <row r="378" customFormat="false" ht="15" hidden="false" customHeight="false" outlineLevel="0" collapsed="false">
      <c r="A378" s="10" t="s">
        <v>450</v>
      </c>
      <c r="B378" s="10" t="s">
        <v>76</v>
      </c>
      <c r="C378" s="10" t="s">
        <v>54</v>
      </c>
      <c r="D378" s="18" t="n">
        <v>18859</v>
      </c>
      <c r="E378" s="19" t="n">
        <v>0.488</v>
      </c>
      <c r="F378" s="10" t="n">
        <v>0</v>
      </c>
      <c r="G378" s="20" t="n">
        <v>0.223773523977277</v>
      </c>
      <c r="H378" s="10" t="n">
        <v>48</v>
      </c>
      <c r="I378" s="10" t="n">
        <v>1</v>
      </c>
    </row>
    <row r="379" customFormat="false" ht="15" hidden="false" customHeight="false" outlineLevel="0" collapsed="false">
      <c r="A379" s="10" t="s">
        <v>451</v>
      </c>
      <c r="B379" s="10" t="s">
        <v>76</v>
      </c>
      <c r="C379" s="10" t="s">
        <v>98</v>
      </c>
      <c r="D379" s="18" t="n">
        <v>50130</v>
      </c>
      <c r="E379" s="19" t="n">
        <v>0.463</v>
      </c>
      <c r="F379" s="10" t="n">
        <v>15</v>
      </c>
      <c r="G379" s="20" t="n">
        <v>0.300939909926809</v>
      </c>
      <c r="H379" s="10" t="n">
        <v>60</v>
      </c>
      <c r="I379" s="10" t="n">
        <v>1</v>
      </c>
    </row>
    <row r="380" customFormat="false" ht="15" hidden="false" customHeight="false" outlineLevel="0" collapsed="false">
      <c r="A380" s="10" t="s">
        <v>452</v>
      </c>
      <c r="B380" s="10" t="s">
        <v>67</v>
      </c>
      <c r="C380" s="10" t="s">
        <v>89</v>
      </c>
      <c r="D380" s="18" t="n">
        <v>46286</v>
      </c>
      <c r="E380" s="19" t="n">
        <v>0.339</v>
      </c>
      <c r="F380" s="10" t="n">
        <v>0</v>
      </c>
      <c r="G380" s="20" t="n">
        <v>0.0571929293015828</v>
      </c>
      <c r="H380" s="10" t="n">
        <v>60</v>
      </c>
      <c r="I380" s="10" t="n">
        <v>0</v>
      </c>
    </row>
    <row r="381" customFormat="false" ht="15" hidden="false" customHeight="false" outlineLevel="0" collapsed="false">
      <c r="A381" s="10" t="s">
        <v>453</v>
      </c>
      <c r="B381" s="10" t="s">
        <v>76</v>
      </c>
      <c r="C381" s="10" t="s">
        <v>81</v>
      </c>
      <c r="D381" s="18" t="n">
        <v>19230</v>
      </c>
      <c r="E381" s="19" t="n">
        <v>0.306</v>
      </c>
      <c r="F381" s="10" t="n">
        <v>0</v>
      </c>
      <c r="G381" s="20" t="n">
        <v>0.170811630143399</v>
      </c>
      <c r="H381" s="10" t="n">
        <v>36</v>
      </c>
      <c r="I381" s="10" t="n">
        <v>0</v>
      </c>
    </row>
    <row r="382" customFormat="false" ht="15" hidden="false" customHeight="false" outlineLevel="0" collapsed="false">
      <c r="A382" s="10" t="s">
        <v>454</v>
      </c>
      <c r="B382" s="10" t="s">
        <v>76</v>
      </c>
      <c r="C382" s="10" t="s">
        <v>79</v>
      </c>
      <c r="D382" s="18" t="n">
        <v>441567</v>
      </c>
      <c r="E382" s="19" t="n">
        <v>0.137</v>
      </c>
      <c r="F382" s="10" t="n">
        <v>0</v>
      </c>
      <c r="G382" s="20" t="n">
        <v>0.154370140046357</v>
      </c>
      <c r="H382" s="10" t="n">
        <v>60</v>
      </c>
      <c r="I382" s="10" t="n">
        <v>0</v>
      </c>
    </row>
    <row r="383" customFormat="false" ht="15" hidden="false" customHeight="false" outlineLevel="0" collapsed="false">
      <c r="A383" s="10" t="s">
        <v>455</v>
      </c>
      <c r="B383" s="10" t="s">
        <v>59</v>
      </c>
      <c r="C383" s="10" t="s">
        <v>100</v>
      </c>
      <c r="D383" s="18" t="n">
        <v>72820</v>
      </c>
      <c r="E383" s="19" t="n">
        <v>0.699</v>
      </c>
      <c r="F383" s="10" t="n">
        <v>0</v>
      </c>
      <c r="G383" s="20" t="n">
        <v>0.113325962979612</v>
      </c>
      <c r="H383" s="10" t="n">
        <v>36</v>
      </c>
      <c r="I383" s="10" t="n">
        <v>0</v>
      </c>
    </row>
    <row r="384" customFormat="false" ht="15" hidden="false" customHeight="false" outlineLevel="0" collapsed="false">
      <c r="A384" s="10" t="s">
        <v>456</v>
      </c>
      <c r="B384" s="10" t="s">
        <v>88</v>
      </c>
      <c r="C384" s="10" t="s">
        <v>81</v>
      </c>
      <c r="D384" s="18" t="n">
        <v>227517</v>
      </c>
      <c r="E384" s="19" t="n">
        <v>0.734</v>
      </c>
      <c r="F384" s="10" t="n">
        <v>0</v>
      </c>
      <c r="G384" s="20" t="n">
        <v>0.151427998964958</v>
      </c>
      <c r="H384" s="10" t="n">
        <v>36</v>
      </c>
      <c r="I384" s="10" t="n">
        <v>0</v>
      </c>
    </row>
    <row r="385" customFormat="false" ht="15" hidden="false" customHeight="false" outlineLevel="0" collapsed="false">
      <c r="A385" s="10" t="s">
        <v>457</v>
      </c>
      <c r="B385" s="10" t="s">
        <v>67</v>
      </c>
      <c r="C385" s="10" t="s">
        <v>60</v>
      </c>
      <c r="D385" s="18" t="n">
        <v>48339</v>
      </c>
      <c r="E385" s="19" t="n">
        <v>0.31</v>
      </c>
      <c r="F385" s="10" t="n">
        <v>0</v>
      </c>
      <c r="G385" s="20" t="n">
        <v>0.0957327103529424</v>
      </c>
      <c r="H385" s="10" t="n">
        <v>12</v>
      </c>
      <c r="I385" s="10" t="n">
        <v>0</v>
      </c>
    </row>
    <row r="386" customFormat="false" ht="15" hidden="false" customHeight="false" outlineLevel="0" collapsed="false">
      <c r="A386" s="10" t="s">
        <v>458</v>
      </c>
      <c r="B386" s="10" t="s">
        <v>83</v>
      </c>
      <c r="C386" s="10" t="s">
        <v>98</v>
      </c>
      <c r="D386" s="18" t="n">
        <v>50156</v>
      </c>
      <c r="E386" s="19" t="n">
        <v>0.675</v>
      </c>
      <c r="F386" s="10" t="n">
        <v>0</v>
      </c>
      <c r="G386" s="20" t="n">
        <v>0.001</v>
      </c>
      <c r="H386" s="10" t="n">
        <v>48</v>
      </c>
      <c r="I386" s="10" t="n">
        <v>0</v>
      </c>
    </row>
    <row r="387" customFormat="false" ht="15" hidden="false" customHeight="false" outlineLevel="0" collapsed="false">
      <c r="A387" s="10" t="s">
        <v>459</v>
      </c>
      <c r="B387" s="10" t="s">
        <v>64</v>
      </c>
      <c r="C387" s="10" t="s">
        <v>72</v>
      </c>
      <c r="D387" s="18" t="n">
        <v>481719</v>
      </c>
      <c r="E387" s="19" t="n">
        <v>0.316</v>
      </c>
      <c r="F387" s="10" t="n">
        <v>0</v>
      </c>
      <c r="G387" s="20" t="n">
        <v>0.182326594412625</v>
      </c>
      <c r="H387" s="10" t="n">
        <v>48</v>
      </c>
      <c r="I387" s="10" t="n">
        <v>0</v>
      </c>
    </row>
    <row r="388" customFormat="false" ht="15" hidden="false" customHeight="false" outlineLevel="0" collapsed="false">
      <c r="A388" s="10" t="s">
        <v>460</v>
      </c>
      <c r="B388" s="10" t="s">
        <v>53</v>
      </c>
      <c r="C388" s="10" t="s">
        <v>98</v>
      </c>
      <c r="D388" s="18" t="n">
        <v>57425</v>
      </c>
      <c r="E388" s="19" t="n">
        <v>0.489</v>
      </c>
      <c r="F388" s="10" t="n">
        <v>0</v>
      </c>
      <c r="G388" s="20" t="n">
        <v>0.0691939422725484</v>
      </c>
      <c r="H388" s="10" t="n">
        <v>60</v>
      </c>
      <c r="I388" s="10" t="n">
        <v>0</v>
      </c>
    </row>
    <row r="389" customFormat="false" ht="15" hidden="false" customHeight="false" outlineLevel="0" collapsed="false">
      <c r="A389" s="10" t="s">
        <v>461</v>
      </c>
      <c r="B389" s="10" t="s">
        <v>69</v>
      </c>
      <c r="C389" s="10" t="s">
        <v>72</v>
      </c>
      <c r="D389" s="18" t="n">
        <v>81403</v>
      </c>
      <c r="E389" s="19" t="n">
        <v>0.32</v>
      </c>
      <c r="F389" s="10" t="n">
        <v>0</v>
      </c>
      <c r="G389" s="20" t="n">
        <v>0.158514083204559</v>
      </c>
      <c r="H389" s="10" t="n">
        <v>60</v>
      </c>
      <c r="I389" s="10" t="n">
        <v>0</v>
      </c>
    </row>
    <row r="390" customFormat="false" ht="15" hidden="false" customHeight="false" outlineLevel="0" collapsed="false">
      <c r="A390" s="10" t="s">
        <v>462</v>
      </c>
      <c r="B390" s="10" t="s">
        <v>59</v>
      </c>
      <c r="C390" s="10" t="s">
        <v>72</v>
      </c>
      <c r="D390" s="18" t="n">
        <v>136373</v>
      </c>
      <c r="E390" s="19" t="n">
        <v>0.666</v>
      </c>
      <c r="F390" s="10" t="n">
        <v>0</v>
      </c>
      <c r="G390" s="20" t="n">
        <v>0.1876591611293</v>
      </c>
      <c r="H390" s="10" t="n">
        <v>60</v>
      </c>
      <c r="I390" s="10" t="n">
        <v>0</v>
      </c>
    </row>
    <row r="391" customFormat="false" ht="15" hidden="false" customHeight="false" outlineLevel="0" collapsed="false">
      <c r="A391" s="10" t="s">
        <v>463</v>
      </c>
      <c r="B391" s="10" t="s">
        <v>69</v>
      </c>
      <c r="C391" s="10" t="s">
        <v>89</v>
      </c>
      <c r="D391" s="18" t="n">
        <v>270712</v>
      </c>
      <c r="E391" s="19" t="n">
        <v>0.52</v>
      </c>
      <c r="F391" s="10" t="n">
        <v>0</v>
      </c>
      <c r="G391" s="20" t="n">
        <v>0.226092949368511</v>
      </c>
      <c r="H391" s="10" t="n">
        <v>36</v>
      </c>
      <c r="I391" s="10" t="n">
        <v>0</v>
      </c>
    </row>
    <row r="392" customFormat="false" ht="15" hidden="false" customHeight="false" outlineLevel="0" collapsed="false">
      <c r="A392" s="10" t="s">
        <v>464</v>
      </c>
      <c r="B392" s="10" t="s">
        <v>56</v>
      </c>
      <c r="C392" s="10" t="s">
        <v>100</v>
      </c>
      <c r="D392" s="18" t="n">
        <v>145926</v>
      </c>
      <c r="E392" s="19" t="n">
        <v>0.252</v>
      </c>
      <c r="F392" s="10" t="n">
        <v>0</v>
      </c>
      <c r="G392" s="20" t="n">
        <v>0.229318010437479</v>
      </c>
      <c r="H392" s="10" t="n">
        <v>72</v>
      </c>
      <c r="I392" s="10" t="n">
        <v>0</v>
      </c>
    </row>
    <row r="393" customFormat="false" ht="15" hidden="false" customHeight="false" outlineLevel="0" collapsed="false">
      <c r="A393" s="10" t="s">
        <v>465</v>
      </c>
      <c r="B393" s="10" t="s">
        <v>64</v>
      </c>
      <c r="C393" s="10" t="s">
        <v>54</v>
      </c>
      <c r="D393" s="18" t="n">
        <v>120246</v>
      </c>
      <c r="E393" s="19" t="n">
        <v>0.823</v>
      </c>
      <c r="F393" s="10" t="n">
        <v>0</v>
      </c>
      <c r="G393" s="20" t="n">
        <v>0.146624161643928</v>
      </c>
      <c r="H393" s="10" t="n">
        <v>48</v>
      </c>
      <c r="I393" s="10" t="n">
        <v>0</v>
      </c>
    </row>
    <row r="394" customFormat="false" ht="15" hidden="false" customHeight="false" outlineLevel="0" collapsed="false">
      <c r="A394" s="10" t="s">
        <v>466</v>
      </c>
      <c r="B394" s="10" t="s">
        <v>62</v>
      </c>
      <c r="C394" s="10" t="s">
        <v>60</v>
      </c>
      <c r="D394" s="18" t="n">
        <v>48957</v>
      </c>
      <c r="E394" s="19" t="n">
        <v>0.096</v>
      </c>
      <c r="F394" s="10" t="n">
        <v>0</v>
      </c>
      <c r="G394" s="20" t="n">
        <v>0.210512556795108</v>
      </c>
      <c r="H394" s="10" t="n">
        <v>72</v>
      </c>
      <c r="I394" s="10" t="n">
        <v>0</v>
      </c>
    </row>
    <row r="395" customFormat="false" ht="15" hidden="false" customHeight="false" outlineLevel="0" collapsed="false">
      <c r="A395" s="10" t="s">
        <v>467</v>
      </c>
      <c r="B395" s="10" t="s">
        <v>64</v>
      </c>
      <c r="C395" s="10" t="s">
        <v>79</v>
      </c>
      <c r="D395" s="18" t="n">
        <v>41057</v>
      </c>
      <c r="E395" s="19" t="n">
        <v>0.585</v>
      </c>
      <c r="F395" s="10" t="n">
        <v>0</v>
      </c>
      <c r="G395" s="20" t="n">
        <v>0.001</v>
      </c>
      <c r="H395" s="10" t="n">
        <v>60</v>
      </c>
      <c r="I395" s="10" t="n">
        <v>0</v>
      </c>
    </row>
    <row r="396" customFormat="false" ht="15" hidden="false" customHeight="false" outlineLevel="0" collapsed="false">
      <c r="A396" s="10" t="s">
        <v>468</v>
      </c>
      <c r="B396" s="10" t="s">
        <v>88</v>
      </c>
      <c r="C396" s="10" t="s">
        <v>98</v>
      </c>
      <c r="D396" s="18" t="n">
        <v>242959</v>
      </c>
      <c r="E396" s="19" t="n">
        <v>0.305</v>
      </c>
      <c r="F396" s="10" t="n">
        <v>0</v>
      </c>
      <c r="G396" s="20" t="n">
        <v>0.0186544673328163</v>
      </c>
      <c r="H396" s="10" t="n">
        <v>48</v>
      </c>
      <c r="I396" s="10" t="n">
        <v>0</v>
      </c>
    </row>
    <row r="397" customFormat="false" ht="15" hidden="false" customHeight="false" outlineLevel="0" collapsed="false">
      <c r="A397" s="10" t="s">
        <v>469</v>
      </c>
      <c r="B397" s="10" t="s">
        <v>62</v>
      </c>
      <c r="C397" s="10" t="s">
        <v>60</v>
      </c>
      <c r="D397" s="18" t="n">
        <v>18645</v>
      </c>
      <c r="E397" s="19" t="n">
        <v>0.728</v>
      </c>
      <c r="F397" s="10" t="n">
        <v>0</v>
      </c>
      <c r="G397" s="20" t="n">
        <v>0.178911744344765</v>
      </c>
      <c r="H397" s="10" t="n">
        <v>24</v>
      </c>
      <c r="I397" s="10" t="n">
        <v>0</v>
      </c>
    </row>
    <row r="398" customFormat="false" ht="15" hidden="false" customHeight="false" outlineLevel="0" collapsed="false">
      <c r="A398" s="10" t="s">
        <v>470</v>
      </c>
      <c r="B398" s="10" t="s">
        <v>88</v>
      </c>
      <c r="C398" s="10" t="s">
        <v>89</v>
      </c>
      <c r="D398" s="18" t="n">
        <v>44976</v>
      </c>
      <c r="E398" s="19" t="n">
        <v>0.318</v>
      </c>
      <c r="F398" s="10" t="n">
        <v>0</v>
      </c>
      <c r="G398" s="20" t="n">
        <v>0.116060895050229</v>
      </c>
      <c r="H398" s="10" t="n">
        <v>60</v>
      </c>
      <c r="I398" s="10" t="n">
        <v>0</v>
      </c>
    </row>
    <row r="399" customFormat="false" ht="15" hidden="false" customHeight="false" outlineLevel="0" collapsed="false">
      <c r="A399" s="10" t="s">
        <v>471</v>
      </c>
      <c r="B399" s="10" t="s">
        <v>76</v>
      </c>
      <c r="C399" s="10" t="s">
        <v>72</v>
      </c>
      <c r="D399" s="18" t="n">
        <v>33094</v>
      </c>
      <c r="E399" s="19" t="n">
        <v>0.3</v>
      </c>
      <c r="F399" s="10" t="n">
        <v>0</v>
      </c>
      <c r="G399" s="20" t="n">
        <v>0.222756886663429</v>
      </c>
      <c r="H399" s="10" t="n">
        <v>60</v>
      </c>
      <c r="I399" s="10" t="n">
        <v>0</v>
      </c>
    </row>
    <row r="400" customFormat="false" ht="15" hidden="false" customHeight="false" outlineLevel="0" collapsed="false">
      <c r="A400" s="10" t="s">
        <v>472</v>
      </c>
      <c r="B400" s="10" t="s">
        <v>69</v>
      </c>
      <c r="C400" s="10" t="s">
        <v>60</v>
      </c>
      <c r="D400" s="18" t="n">
        <v>38014</v>
      </c>
      <c r="E400" s="19" t="n">
        <v>0.341</v>
      </c>
      <c r="F400" s="10" t="n">
        <v>0</v>
      </c>
      <c r="G400" s="20" t="n">
        <v>0.0411421077442488</v>
      </c>
      <c r="H400" s="10" t="n">
        <v>12</v>
      </c>
      <c r="I400" s="10" t="n">
        <v>0</v>
      </c>
    </row>
    <row r="401" customFormat="false" ht="15" hidden="false" customHeight="false" outlineLevel="0" collapsed="false">
      <c r="A401" s="10" t="s">
        <v>473</v>
      </c>
      <c r="B401" s="10" t="s">
        <v>56</v>
      </c>
      <c r="C401" s="10" t="s">
        <v>89</v>
      </c>
      <c r="D401" s="18" t="n">
        <v>15731</v>
      </c>
      <c r="E401" s="19" t="n">
        <v>0.925</v>
      </c>
      <c r="F401" s="10" t="n">
        <v>0</v>
      </c>
      <c r="G401" s="20" t="n">
        <v>0.140957054379959</v>
      </c>
      <c r="H401" s="10" t="n">
        <v>48</v>
      </c>
      <c r="I401" s="10" t="n">
        <v>0</v>
      </c>
    </row>
    <row r="402" customFormat="false" ht="15" hidden="false" customHeight="false" outlineLevel="0" collapsed="false">
      <c r="A402" s="10" t="s">
        <v>474</v>
      </c>
      <c r="B402" s="10" t="s">
        <v>67</v>
      </c>
      <c r="C402" s="10" t="s">
        <v>54</v>
      </c>
      <c r="D402" s="18" t="n">
        <v>64174</v>
      </c>
      <c r="E402" s="19" t="n">
        <v>0.325</v>
      </c>
      <c r="F402" s="10" t="n">
        <v>0</v>
      </c>
      <c r="G402" s="20" t="n">
        <v>0.237168021537265</v>
      </c>
      <c r="H402" s="10" t="n">
        <v>48</v>
      </c>
      <c r="I402" s="10" t="n">
        <v>0</v>
      </c>
    </row>
    <row r="403" customFormat="false" ht="15" hidden="false" customHeight="false" outlineLevel="0" collapsed="false">
      <c r="A403" s="10" t="s">
        <v>475</v>
      </c>
      <c r="B403" s="10" t="s">
        <v>64</v>
      </c>
      <c r="C403" s="10" t="s">
        <v>79</v>
      </c>
      <c r="D403" s="18" t="n">
        <v>1262480</v>
      </c>
      <c r="E403" s="19" t="n">
        <v>0.176</v>
      </c>
      <c r="F403" s="10" t="n">
        <v>5</v>
      </c>
      <c r="G403" s="20" t="n">
        <v>0.283227344693743</v>
      </c>
      <c r="H403" s="10" t="n">
        <v>36</v>
      </c>
      <c r="I403" s="10" t="n">
        <v>0</v>
      </c>
    </row>
    <row r="404" customFormat="false" ht="15" hidden="false" customHeight="false" outlineLevel="0" collapsed="false">
      <c r="A404" s="10" t="s">
        <v>476</v>
      </c>
      <c r="B404" s="10" t="s">
        <v>76</v>
      </c>
      <c r="C404" s="10" t="s">
        <v>72</v>
      </c>
      <c r="D404" s="18" t="n">
        <v>174412</v>
      </c>
      <c r="E404" s="19" t="n">
        <v>0.233</v>
      </c>
      <c r="F404" s="10" t="n">
        <v>0</v>
      </c>
      <c r="G404" s="20" t="n">
        <v>0.144082248236493</v>
      </c>
      <c r="H404" s="10" t="n">
        <v>84</v>
      </c>
      <c r="I404" s="10" t="n">
        <v>0</v>
      </c>
    </row>
    <row r="405" customFormat="false" ht="15" hidden="false" customHeight="false" outlineLevel="0" collapsed="false">
      <c r="A405" s="10" t="s">
        <v>477</v>
      </c>
      <c r="B405" s="10" t="s">
        <v>69</v>
      </c>
      <c r="C405" s="10" t="s">
        <v>72</v>
      </c>
      <c r="D405" s="18" t="n">
        <v>24815</v>
      </c>
      <c r="E405" s="19" t="n">
        <v>0.662</v>
      </c>
      <c r="F405" s="10" t="n">
        <v>0</v>
      </c>
      <c r="G405" s="20" t="n">
        <v>0.260675160517872</v>
      </c>
      <c r="H405" s="10" t="n">
        <v>60</v>
      </c>
      <c r="I405" s="10" t="n">
        <v>1</v>
      </c>
    </row>
    <row r="406" customFormat="false" ht="15" hidden="false" customHeight="false" outlineLevel="0" collapsed="false">
      <c r="A406" s="10" t="s">
        <v>478</v>
      </c>
      <c r="B406" s="10" t="s">
        <v>53</v>
      </c>
      <c r="C406" s="10" t="s">
        <v>60</v>
      </c>
      <c r="D406" s="18" t="n">
        <v>205332</v>
      </c>
      <c r="E406" s="19" t="n">
        <v>0.247</v>
      </c>
      <c r="F406" s="10" t="n">
        <v>0</v>
      </c>
      <c r="G406" s="20" t="n">
        <v>0.0046626307996028</v>
      </c>
      <c r="H406" s="10" t="n">
        <v>120</v>
      </c>
      <c r="I406" s="10" t="n">
        <v>0</v>
      </c>
    </row>
    <row r="407" customFormat="false" ht="15" hidden="false" customHeight="false" outlineLevel="0" collapsed="false">
      <c r="A407" s="10" t="s">
        <v>479</v>
      </c>
      <c r="B407" s="10" t="s">
        <v>88</v>
      </c>
      <c r="C407" s="10" t="s">
        <v>74</v>
      </c>
      <c r="D407" s="18" t="n">
        <v>206260</v>
      </c>
      <c r="E407" s="19" t="n">
        <v>0.05</v>
      </c>
      <c r="F407" s="10" t="n">
        <v>0</v>
      </c>
      <c r="G407" s="20" t="n">
        <v>0.199033103641727</v>
      </c>
      <c r="H407" s="10" t="n">
        <v>36</v>
      </c>
      <c r="I407" s="10" t="n">
        <v>0</v>
      </c>
    </row>
    <row r="408" customFormat="false" ht="15" hidden="false" customHeight="false" outlineLevel="0" collapsed="false">
      <c r="A408" s="10" t="s">
        <v>480</v>
      </c>
      <c r="B408" s="10" t="s">
        <v>62</v>
      </c>
      <c r="C408" s="10" t="s">
        <v>54</v>
      </c>
      <c r="D408" s="18" t="n">
        <v>383649</v>
      </c>
      <c r="E408" s="19" t="n">
        <v>0.169</v>
      </c>
      <c r="F408" s="10" t="n">
        <v>0</v>
      </c>
      <c r="G408" s="20" t="n">
        <v>0.133296052237628</v>
      </c>
      <c r="H408" s="10" t="n">
        <v>36</v>
      </c>
      <c r="I408" s="10" t="n">
        <v>0</v>
      </c>
    </row>
    <row r="409" customFormat="false" ht="15" hidden="false" customHeight="false" outlineLevel="0" collapsed="false">
      <c r="A409" s="10" t="s">
        <v>481</v>
      </c>
      <c r="B409" s="10" t="s">
        <v>69</v>
      </c>
      <c r="C409" s="10" t="s">
        <v>54</v>
      </c>
      <c r="D409" s="18" t="n">
        <v>69689</v>
      </c>
      <c r="E409" s="19" t="n">
        <v>0.78</v>
      </c>
      <c r="F409" s="10" t="n">
        <v>0</v>
      </c>
      <c r="G409" s="20" t="n">
        <v>0.218446186390796</v>
      </c>
      <c r="H409" s="10" t="n">
        <v>36</v>
      </c>
      <c r="I409" s="10" t="n">
        <v>0</v>
      </c>
    </row>
    <row r="410" customFormat="false" ht="15" hidden="false" customHeight="false" outlineLevel="0" collapsed="false">
      <c r="A410" s="10" t="s">
        <v>482</v>
      </c>
      <c r="B410" s="10" t="s">
        <v>64</v>
      </c>
      <c r="C410" s="10" t="s">
        <v>57</v>
      </c>
      <c r="D410" s="18" t="n">
        <v>33825</v>
      </c>
      <c r="E410" s="19" t="n">
        <v>0.419</v>
      </c>
      <c r="F410" s="10" t="n">
        <v>0</v>
      </c>
      <c r="G410" s="20" t="n">
        <v>0.265910491679723</v>
      </c>
      <c r="H410" s="10" t="n">
        <v>60</v>
      </c>
      <c r="I410" s="10" t="n">
        <v>1</v>
      </c>
    </row>
    <row r="411" customFormat="false" ht="15" hidden="false" customHeight="false" outlineLevel="0" collapsed="false">
      <c r="A411" s="10" t="s">
        <v>483</v>
      </c>
      <c r="B411" s="10" t="s">
        <v>62</v>
      </c>
      <c r="C411" s="10" t="s">
        <v>54</v>
      </c>
      <c r="D411" s="18" t="n">
        <v>49705</v>
      </c>
      <c r="E411" s="19" t="n">
        <v>0.533</v>
      </c>
      <c r="F411" s="10" t="n">
        <v>0</v>
      </c>
      <c r="G411" s="20" t="n">
        <v>0.001</v>
      </c>
      <c r="H411" s="10" t="n">
        <v>72</v>
      </c>
      <c r="I411" s="10" t="n">
        <v>0</v>
      </c>
    </row>
    <row r="412" customFormat="false" ht="15" hidden="false" customHeight="false" outlineLevel="0" collapsed="false">
      <c r="A412" s="10" t="s">
        <v>484</v>
      </c>
      <c r="B412" s="10" t="s">
        <v>53</v>
      </c>
      <c r="C412" s="10" t="s">
        <v>54</v>
      </c>
      <c r="D412" s="18" t="n">
        <v>74054</v>
      </c>
      <c r="E412" s="19" t="n">
        <v>0.382</v>
      </c>
      <c r="F412" s="10" t="n">
        <v>0</v>
      </c>
      <c r="G412" s="20" t="n">
        <v>0.0958983931875124</v>
      </c>
      <c r="H412" s="10" t="n">
        <v>36</v>
      </c>
      <c r="I412" s="10" t="n">
        <v>0</v>
      </c>
    </row>
    <row r="413" customFormat="false" ht="15" hidden="false" customHeight="false" outlineLevel="0" collapsed="false">
      <c r="A413" s="10" t="s">
        <v>485</v>
      </c>
      <c r="B413" s="10" t="s">
        <v>76</v>
      </c>
      <c r="C413" s="10" t="s">
        <v>74</v>
      </c>
      <c r="D413" s="18" t="n">
        <v>149942</v>
      </c>
      <c r="E413" s="19" t="n">
        <v>0.206</v>
      </c>
      <c r="F413" s="10" t="n">
        <v>0</v>
      </c>
      <c r="G413" s="20" t="n">
        <v>0.19360428202323</v>
      </c>
      <c r="H413" s="10" t="n">
        <v>36</v>
      </c>
      <c r="I413" s="10" t="n">
        <v>0</v>
      </c>
    </row>
    <row r="414" customFormat="false" ht="15" hidden="false" customHeight="false" outlineLevel="0" collapsed="false">
      <c r="A414" s="10" t="s">
        <v>486</v>
      </c>
      <c r="B414" s="10" t="s">
        <v>64</v>
      </c>
      <c r="C414" s="10" t="s">
        <v>98</v>
      </c>
      <c r="D414" s="18" t="n">
        <v>153209</v>
      </c>
      <c r="E414" s="19" t="n">
        <v>0.666</v>
      </c>
      <c r="F414" s="10" t="n">
        <v>65</v>
      </c>
      <c r="G414" s="20" t="n">
        <v>0.456938250277478</v>
      </c>
      <c r="H414" s="10" t="n">
        <v>84</v>
      </c>
      <c r="I414" s="10" t="n">
        <v>1</v>
      </c>
    </row>
    <row r="415" customFormat="false" ht="15" hidden="false" customHeight="false" outlineLevel="0" collapsed="false">
      <c r="A415" s="10" t="s">
        <v>487</v>
      </c>
      <c r="B415" s="10" t="s">
        <v>62</v>
      </c>
      <c r="C415" s="10" t="s">
        <v>54</v>
      </c>
      <c r="D415" s="18" t="n">
        <v>54649</v>
      </c>
      <c r="E415" s="19" t="n">
        <v>0.211</v>
      </c>
      <c r="F415" s="10" t="n">
        <v>0</v>
      </c>
      <c r="G415" s="20" t="n">
        <v>0.165337437474182</v>
      </c>
      <c r="H415" s="10" t="n">
        <v>24</v>
      </c>
      <c r="I415" s="10" t="n">
        <v>0</v>
      </c>
    </row>
    <row r="416" customFormat="false" ht="15" hidden="false" customHeight="false" outlineLevel="0" collapsed="false">
      <c r="A416" s="10" t="s">
        <v>488</v>
      </c>
      <c r="B416" s="10" t="s">
        <v>69</v>
      </c>
      <c r="C416" s="10" t="s">
        <v>60</v>
      </c>
      <c r="D416" s="18" t="n">
        <v>48451</v>
      </c>
      <c r="E416" s="19" t="n">
        <v>0.827</v>
      </c>
      <c r="F416" s="10" t="n">
        <v>0</v>
      </c>
      <c r="G416" s="20" t="n">
        <v>0.077618695912056</v>
      </c>
      <c r="H416" s="10" t="n">
        <v>120</v>
      </c>
      <c r="I416" s="10" t="n">
        <v>0</v>
      </c>
    </row>
    <row r="417" customFormat="false" ht="15" hidden="false" customHeight="false" outlineLevel="0" collapsed="false">
      <c r="A417" s="10" t="s">
        <v>489</v>
      </c>
      <c r="B417" s="10" t="s">
        <v>62</v>
      </c>
      <c r="C417" s="10" t="s">
        <v>81</v>
      </c>
      <c r="D417" s="18" t="n">
        <v>72038</v>
      </c>
      <c r="E417" s="19" t="n">
        <v>0.552</v>
      </c>
      <c r="F417" s="10" t="n">
        <v>0</v>
      </c>
      <c r="G417" s="20" t="n">
        <v>0.108981146996601</v>
      </c>
      <c r="H417" s="10" t="n">
        <v>84</v>
      </c>
      <c r="I417" s="10" t="n">
        <v>0</v>
      </c>
    </row>
    <row r="418" customFormat="false" ht="15" hidden="false" customHeight="false" outlineLevel="0" collapsed="false">
      <c r="A418" s="10" t="s">
        <v>490</v>
      </c>
      <c r="B418" s="10" t="s">
        <v>67</v>
      </c>
      <c r="C418" s="10" t="s">
        <v>60</v>
      </c>
      <c r="D418" s="18" t="n">
        <v>396172</v>
      </c>
      <c r="E418" s="19" t="n">
        <v>0.285</v>
      </c>
      <c r="F418" s="10" t="n">
        <v>0</v>
      </c>
      <c r="G418" s="20" t="n">
        <v>0.152147834677623</v>
      </c>
      <c r="H418" s="10" t="n">
        <v>24</v>
      </c>
      <c r="I418" s="10" t="n">
        <v>0</v>
      </c>
    </row>
    <row r="419" customFormat="false" ht="15" hidden="false" customHeight="false" outlineLevel="0" collapsed="false">
      <c r="A419" s="10" t="s">
        <v>491</v>
      </c>
      <c r="B419" s="10" t="s">
        <v>64</v>
      </c>
      <c r="C419" s="10" t="s">
        <v>81</v>
      </c>
      <c r="D419" s="18" t="n">
        <v>19816</v>
      </c>
      <c r="E419" s="19" t="n">
        <v>0.316</v>
      </c>
      <c r="F419" s="10" t="n">
        <v>0</v>
      </c>
      <c r="G419" s="20" t="n">
        <v>0.183837194434683</v>
      </c>
      <c r="H419" s="10" t="n">
        <v>84</v>
      </c>
      <c r="I419" s="10" t="n">
        <v>0</v>
      </c>
    </row>
    <row r="420" customFormat="false" ht="15" hidden="false" customHeight="false" outlineLevel="0" collapsed="false">
      <c r="A420" s="10" t="s">
        <v>492</v>
      </c>
      <c r="B420" s="10" t="s">
        <v>56</v>
      </c>
      <c r="C420" s="10" t="s">
        <v>60</v>
      </c>
      <c r="D420" s="18" t="n">
        <v>88717</v>
      </c>
      <c r="E420" s="19" t="n">
        <v>0.617</v>
      </c>
      <c r="F420" s="10" t="n">
        <v>0</v>
      </c>
      <c r="G420" s="20" t="n">
        <v>0.272628564362897</v>
      </c>
      <c r="H420" s="10" t="n">
        <v>24</v>
      </c>
      <c r="I420" s="10" t="n">
        <v>1</v>
      </c>
    </row>
    <row r="421" customFormat="false" ht="15" hidden="false" customHeight="false" outlineLevel="0" collapsed="false">
      <c r="A421" s="10" t="s">
        <v>493</v>
      </c>
      <c r="B421" s="10" t="s">
        <v>67</v>
      </c>
      <c r="C421" s="10" t="s">
        <v>89</v>
      </c>
      <c r="D421" s="18" t="n">
        <v>66292</v>
      </c>
      <c r="E421" s="19" t="n">
        <v>0.129</v>
      </c>
      <c r="F421" s="10" t="n">
        <v>0</v>
      </c>
      <c r="G421" s="20" t="n">
        <v>0.124124303544996</v>
      </c>
      <c r="H421" s="10" t="n">
        <v>72</v>
      </c>
      <c r="I421" s="10" t="n">
        <v>0</v>
      </c>
    </row>
    <row r="422" customFormat="false" ht="15" hidden="false" customHeight="false" outlineLevel="0" collapsed="false">
      <c r="A422" s="10" t="s">
        <v>494</v>
      </c>
      <c r="B422" s="10" t="s">
        <v>53</v>
      </c>
      <c r="C422" s="10" t="s">
        <v>54</v>
      </c>
      <c r="D422" s="18" t="n">
        <v>59429</v>
      </c>
      <c r="E422" s="19" t="n">
        <v>0.573</v>
      </c>
      <c r="F422" s="10" t="n">
        <v>0</v>
      </c>
      <c r="G422" s="20" t="n">
        <v>0.0722582967983983</v>
      </c>
      <c r="H422" s="10" t="n">
        <v>12</v>
      </c>
      <c r="I422" s="10" t="n">
        <v>0</v>
      </c>
    </row>
    <row r="423" customFormat="false" ht="15" hidden="false" customHeight="false" outlineLevel="0" collapsed="false">
      <c r="A423" s="10" t="s">
        <v>495</v>
      </c>
      <c r="B423" s="10" t="s">
        <v>69</v>
      </c>
      <c r="C423" s="10" t="s">
        <v>60</v>
      </c>
      <c r="D423" s="18" t="n">
        <v>58886</v>
      </c>
      <c r="E423" s="19" t="n">
        <v>0.311</v>
      </c>
      <c r="F423" s="10" t="n">
        <v>0</v>
      </c>
      <c r="G423" s="20" t="n">
        <v>0.141674905292497</v>
      </c>
      <c r="H423" s="10" t="n">
        <v>36</v>
      </c>
      <c r="I423" s="10" t="n">
        <v>0</v>
      </c>
    </row>
    <row r="424" customFormat="false" ht="15" hidden="false" customHeight="false" outlineLevel="0" collapsed="false">
      <c r="A424" s="10" t="s">
        <v>496</v>
      </c>
      <c r="B424" s="10" t="s">
        <v>83</v>
      </c>
      <c r="C424" s="10" t="s">
        <v>60</v>
      </c>
      <c r="D424" s="18" t="n">
        <v>61220</v>
      </c>
      <c r="E424" s="19" t="n">
        <v>0.34</v>
      </c>
      <c r="F424" s="10" t="n">
        <v>0</v>
      </c>
      <c r="G424" s="20" t="n">
        <v>0.180112018268358</v>
      </c>
      <c r="H424" s="10" t="n">
        <v>60</v>
      </c>
      <c r="I424" s="10" t="n">
        <v>0</v>
      </c>
    </row>
    <row r="425" customFormat="false" ht="15" hidden="false" customHeight="false" outlineLevel="0" collapsed="false">
      <c r="A425" s="10" t="s">
        <v>497</v>
      </c>
      <c r="B425" s="10" t="s">
        <v>88</v>
      </c>
      <c r="C425" s="10" t="s">
        <v>54</v>
      </c>
      <c r="D425" s="18" t="n">
        <v>76205</v>
      </c>
      <c r="E425" s="19" t="n">
        <v>0.111</v>
      </c>
      <c r="F425" s="10" t="n">
        <v>0</v>
      </c>
      <c r="G425" s="20" t="n">
        <v>0.218636044568241</v>
      </c>
      <c r="H425" s="10" t="n">
        <v>48</v>
      </c>
      <c r="I425" s="10" t="n">
        <v>1</v>
      </c>
    </row>
    <row r="426" customFormat="false" ht="15" hidden="false" customHeight="false" outlineLevel="0" collapsed="false">
      <c r="A426" s="10" t="s">
        <v>498</v>
      </c>
      <c r="B426" s="10" t="s">
        <v>56</v>
      </c>
      <c r="C426" s="10" t="s">
        <v>100</v>
      </c>
      <c r="D426" s="18" t="n">
        <v>36577</v>
      </c>
      <c r="E426" s="19" t="n">
        <v>0.739</v>
      </c>
      <c r="F426" s="10" t="n">
        <v>0</v>
      </c>
      <c r="G426" s="20" t="n">
        <v>0.152002605028139</v>
      </c>
      <c r="H426" s="10" t="n">
        <v>36</v>
      </c>
      <c r="I426" s="10" t="n">
        <v>0</v>
      </c>
    </row>
    <row r="427" customFormat="false" ht="15" hidden="false" customHeight="false" outlineLevel="0" collapsed="false">
      <c r="A427" s="10" t="s">
        <v>499</v>
      </c>
      <c r="B427" s="10" t="s">
        <v>64</v>
      </c>
      <c r="C427" s="10" t="s">
        <v>98</v>
      </c>
      <c r="D427" s="18" t="n">
        <v>47396</v>
      </c>
      <c r="E427" s="19" t="n">
        <v>0.247</v>
      </c>
      <c r="F427" s="10" t="n">
        <v>0</v>
      </c>
      <c r="G427" s="20" t="n">
        <v>0.184764824973838</v>
      </c>
      <c r="H427" s="10" t="n">
        <v>120</v>
      </c>
      <c r="I427" s="10" t="n">
        <v>0</v>
      </c>
    </row>
    <row r="428" customFormat="false" ht="15" hidden="false" customHeight="false" outlineLevel="0" collapsed="false">
      <c r="A428" s="10" t="s">
        <v>500</v>
      </c>
      <c r="B428" s="10" t="s">
        <v>64</v>
      </c>
      <c r="C428" s="10" t="s">
        <v>89</v>
      </c>
      <c r="D428" s="18" t="n">
        <v>95414</v>
      </c>
      <c r="E428" s="19" t="n">
        <v>0.335</v>
      </c>
      <c r="F428" s="10" t="n">
        <v>0</v>
      </c>
      <c r="G428" s="20" t="n">
        <v>0.0041872457071537</v>
      </c>
      <c r="H428" s="10" t="n">
        <v>60</v>
      </c>
      <c r="I428" s="10" t="n">
        <v>0</v>
      </c>
    </row>
    <row r="429" customFormat="false" ht="15" hidden="false" customHeight="false" outlineLevel="0" collapsed="false">
      <c r="A429" s="10" t="s">
        <v>501</v>
      </c>
      <c r="B429" s="10" t="s">
        <v>67</v>
      </c>
      <c r="C429" s="10" t="s">
        <v>77</v>
      </c>
      <c r="D429" s="18" t="n">
        <v>48057</v>
      </c>
      <c r="E429" s="19" t="n">
        <v>0.258</v>
      </c>
      <c r="F429" s="10" t="n">
        <v>0</v>
      </c>
      <c r="G429" s="20" t="n">
        <v>0.14211033300084</v>
      </c>
      <c r="H429" s="10" t="n">
        <v>60</v>
      </c>
      <c r="I429" s="10" t="n">
        <v>0</v>
      </c>
    </row>
    <row r="430" customFormat="false" ht="15" hidden="false" customHeight="false" outlineLevel="0" collapsed="false">
      <c r="A430" s="10" t="s">
        <v>502</v>
      </c>
      <c r="B430" s="10" t="s">
        <v>56</v>
      </c>
      <c r="C430" s="10" t="s">
        <v>100</v>
      </c>
      <c r="D430" s="18" t="n">
        <v>21454</v>
      </c>
      <c r="E430" s="19" t="n">
        <v>0.671</v>
      </c>
      <c r="F430" s="10" t="n">
        <v>0</v>
      </c>
      <c r="G430" s="20" t="n">
        <v>0.117516403108034</v>
      </c>
      <c r="H430" s="10" t="n">
        <v>48</v>
      </c>
      <c r="I430" s="10" t="n">
        <v>0</v>
      </c>
    </row>
    <row r="431" customFormat="false" ht="15" hidden="false" customHeight="false" outlineLevel="0" collapsed="false">
      <c r="A431" s="10" t="s">
        <v>503</v>
      </c>
      <c r="B431" s="10" t="s">
        <v>64</v>
      </c>
      <c r="C431" s="10" t="s">
        <v>74</v>
      </c>
      <c r="D431" s="18" t="n">
        <v>88221</v>
      </c>
      <c r="E431" s="19" t="n">
        <v>0.178</v>
      </c>
      <c r="F431" s="10" t="n">
        <v>0</v>
      </c>
      <c r="G431" s="20" t="n">
        <v>0.172163145481547</v>
      </c>
      <c r="H431" s="10" t="n">
        <v>48</v>
      </c>
      <c r="I431" s="10" t="n">
        <v>0</v>
      </c>
    </row>
    <row r="432" customFormat="false" ht="15" hidden="false" customHeight="false" outlineLevel="0" collapsed="false">
      <c r="A432" s="10" t="s">
        <v>504</v>
      </c>
      <c r="B432" s="10" t="s">
        <v>67</v>
      </c>
      <c r="C432" s="10" t="s">
        <v>98</v>
      </c>
      <c r="D432" s="18" t="n">
        <v>130717</v>
      </c>
      <c r="E432" s="19" t="n">
        <v>0.494</v>
      </c>
      <c r="F432" s="10" t="n">
        <v>0</v>
      </c>
      <c r="G432" s="20" t="n">
        <v>0.164980764369768</v>
      </c>
      <c r="H432" s="10" t="n">
        <v>84</v>
      </c>
      <c r="I432" s="10" t="n">
        <v>0</v>
      </c>
    </row>
    <row r="433" customFormat="false" ht="15" hidden="false" customHeight="false" outlineLevel="0" collapsed="false">
      <c r="A433" s="10" t="s">
        <v>505</v>
      </c>
      <c r="B433" s="10" t="s">
        <v>53</v>
      </c>
      <c r="C433" s="10" t="s">
        <v>100</v>
      </c>
      <c r="D433" s="18" t="n">
        <v>71255</v>
      </c>
      <c r="E433" s="19" t="n">
        <v>0.726</v>
      </c>
      <c r="F433" s="10" t="n">
        <v>0</v>
      </c>
      <c r="G433" s="20" t="n">
        <v>0.028808362643386</v>
      </c>
      <c r="H433" s="10" t="n">
        <v>48</v>
      </c>
      <c r="I433" s="10" t="n">
        <v>0</v>
      </c>
    </row>
    <row r="434" customFormat="false" ht="15" hidden="false" customHeight="false" outlineLevel="0" collapsed="false">
      <c r="A434" s="10" t="s">
        <v>506</v>
      </c>
      <c r="B434" s="10" t="s">
        <v>69</v>
      </c>
      <c r="C434" s="10" t="s">
        <v>74</v>
      </c>
      <c r="D434" s="18" t="n">
        <v>22886</v>
      </c>
      <c r="E434" s="19" t="n">
        <v>0.332</v>
      </c>
      <c r="F434" s="10" t="n">
        <v>0</v>
      </c>
      <c r="G434" s="20" t="n">
        <v>0.197573061231412</v>
      </c>
      <c r="H434" s="10" t="n">
        <v>12</v>
      </c>
      <c r="I434" s="10" t="n">
        <v>0</v>
      </c>
    </row>
    <row r="435" customFormat="false" ht="15" hidden="false" customHeight="false" outlineLevel="0" collapsed="false">
      <c r="A435" s="10" t="s">
        <v>507</v>
      </c>
      <c r="B435" s="10" t="s">
        <v>62</v>
      </c>
      <c r="C435" s="10" t="s">
        <v>100</v>
      </c>
      <c r="D435" s="18" t="n">
        <v>94415</v>
      </c>
      <c r="E435" s="19" t="n">
        <v>0.236</v>
      </c>
      <c r="F435" s="10" t="n">
        <v>0</v>
      </c>
      <c r="G435" s="20" t="n">
        <v>0.154614576014836</v>
      </c>
      <c r="H435" s="10" t="n">
        <v>48</v>
      </c>
      <c r="I435" s="10" t="n">
        <v>1</v>
      </c>
    </row>
    <row r="436" customFormat="false" ht="15" hidden="false" customHeight="false" outlineLevel="0" collapsed="false">
      <c r="A436" s="10" t="s">
        <v>508</v>
      </c>
      <c r="B436" s="10" t="s">
        <v>88</v>
      </c>
      <c r="C436" s="10" t="s">
        <v>60</v>
      </c>
      <c r="D436" s="18" t="n">
        <v>97829</v>
      </c>
      <c r="E436" s="19" t="n">
        <v>0.185</v>
      </c>
      <c r="F436" s="10" t="n">
        <v>5</v>
      </c>
      <c r="G436" s="20" t="n">
        <v>0.247779703242213</v>
      </c>
      <c r="H436" s="10" t="n">
        <v>48</v>
      </c>
      <c r="I436" s="10" t="n">
        <v>0</v>
      </c>
    </row>
    <row r="437" customFormat="false" ht="15" hidden="false" customHeight="false" outlineLevel="0" collapsed="false">
      <c r="A437" s="10" t="s">
        <v>509</v>
      </c>
      <c r="B437" s="10" t="s">
        <v>76</v>
      </c>
      <c r="C437" s="10" t="s">
        <v>57</v>
      </c>
      <c r="D437" s="18" t="n">
        <v>27565</v>
      </c>
      <c r="E437" s="19" t="n">
        <v>0.195</v>
      </c>
      <c r="F437" s="10" t="n">
        <v>0</v>
      </c>
      <c r="G437" s="20" t="n">
        <v>0.167786566271858</v>
      </c>
      <c r="H437" s="10" t="n">
        <v>36</v>
      </c>
      <c r="I437" s="10" t="n">
        <v>0</v>
      </c>
    </row>
    <row r="438" customFormat="false" ht="15" hidden="false" customHeight="false" outlineLevel="0" collapsed="false">
      <c r="A438" s="10" t="s">
        <v>510</v>
      </c>
      <c r="B438" s="10" t="s">
        <v>88</v>
      </c>
      <c r="C438" s="10" t="s">
        <v>81</v>
      </c>
      <c r="D438" s="18" t="n">
        <v>58124</v>
      </c>
      <c r="E438" s="19" t="n">
        <v>0.235</v>
      </c>
      <c r="F438" s="10" t="n">
        <v>0</v>
      </c>
      <c r="G438" s="20" t="n">
        <v>0.001</v>
      </c>
      <c r="H438" s="10" t="n">
        <v>36</v>
      </c>
      <c r="I438" s="10" t="n">
        <v>0</v>
      </c>
    </row>
    <row r="439" customFormat="false" ht="15" hidden="false" customHeight="false" outlineLevel="0" collapsed="false">
      <c r="A439" s="10" t="s">
        <v>511</v>
      </c>
      <c r="B439" s="10" t="s">
        <v>88</v>
      </c>
      <c r="C439" s="10" t="s">
        <v>54</v>
      </c>
      <c r="D439" s="18" t="n">
        <v>24083</v>
      </c>
      <c r="E439" s="19" t="n">
        <v>0.585</v>
      </c>
      <c r="F439" s="10" t="n">
        <v>0</v>
      </c>
      <c r="G439" s="20" t="n">
        <v>0.0899671986582785</v>
      </c>
      <c r="H439" s="10" t="n">
        <v>84</v>
      </c>
      <c r="I439" s="10" t="n">
        <v>0</v>
      </c>
    </row>
    <row r="440" customFormat="false" ht="15" hidden="false" customHeight="false" outlineLevel="0" collapsed="false">
      <c r="A440" s="10" t="s">
        <v>512</v>
      </c>
      <c r="B440" s="10" t="s">
        <v>62</v>
      </c>
      <c r="C440" s="10" t="s">
        <v>100</v>
      </c>
      <c r="D440" s="18" t="n">
        <v>36808</v>
      </c>
      <c r="E440" s="19" t="n">
        <v>0.366</v>
      </c>
      <c r="F440" s="10" t="n">
        <v>0</v>
      </c>
      <c r="G440" s="20" t="n">
        <v>0.164052078453977</v>
      </c>
      <c r="H440" s="10" t="n">
        <v>60</v>
      </c>
      <c r="I440" s="10" t="n">
        <v>0</v>
      </c>
    </row>
    <row r="441" customFormat="false" ht="15" hidden="false" customHeight="false" outlineLevel="0" collapsed="false">
      <c r="A441" s="10" t="s">
        <v>513</v>
      </c>
      <c r="B441" s="10" t="s">
        <v>88</v>
      </c>
      <c r="C441" s="10" t="s">
        <v>81</v>
      </c>
      <c r="D441" s="18" t="n">
        <v>74504</v>
      </c>
      <c r="E441" s="19" t="n">
        <v>0.176</v>
      </c>
      <c r="F441" s="10" t="n">
        <v>0</v>
      </c>
      <c r="G441" s="20" t="n">
        <v>0.158951795930341</v>
      </c>
      <c r="H441" s="10" t="n">
        <v>36</v>
      </c>
      <c r="I441" s="10" t="n">
        <v>0</v>
      </c>
    </row>
    <row r="442" customFormat="false" ht="15" hidden="false" customHeight="false" outlineLevel="0" collapsed="false">
      <c r="A442" s="10" t="s">
        <v>514</v>
      </c>
      <c r="B442" s="10" t="s">
        <v>59</v>
      </c>
      <c r="C442" s="10" t="s">
        <v>60</v>
      </c>
      <c r="D442" s="18" t="n">
        <v>9081</v>
      </c>
      <c r="E442" s="19" t="n">
        <v>0.35</v>
      </c>
      <c r="F442" s="10" t="n">
        <v>0</v>
      </c>
      <c r="G442" s="20" t="n">
        <v>0.0056508303874378</v>
      </c>
      <c r="H442" s="10" t="n">
        <v>48</v>
      </c>
      <c r="I442" s="10" t="n">
        <v>0</v>
      </c>
    </row>
    <row r="443" customFormat="false" ht="15" hidden="false" customHeight="false" outlineLevel="0" collapsed="false">
      <c r="A443" s="10" t="s">
        <v>515</v>
      </c>
      <c r="B443" s="10" t="s">
        <v>56</v>
      </c>
      <c r="C443" s="10" t="s">
        <v>54</v>
      </c>
      <c r="D443" s="18" t="n">
        <v>269615</v>
      </c>
      <c r="E443" s="19" t="n">
        <v>0.601</v>
      </c>
      <c r="F443" s="10" t="n">
        <v>0</v>
      </c>
      <c r="G443" s="20" t="n">
        <v>0.130548649215882</v>
      </c>
      <c r="H443" s="10" t="n">
        <v>72</v>
      </c>
      <c r="I443" s="10" t="n">
        <v>0</v>
      </c>
    </row>
    <row r="444" customFormat="false" ht="15" hidden="false" customHeight="false" outlineLevel="0" collapsed="false">
      <c r="A444" s="10" t="s">
        <v>516</v>
      </c>
      <c r="B444" s="10" t="s">
        <v>67</v>
      </c>
      <c r="C444" s="10" t="s">
        <v>57</v>
      </c>
      <c r="D444" s="18" t="n">
        <v>25049</v>
      </c>
      <c r="E444" s="19" t="n">
        <v>0.366</v>
      </c>
      <c r="F444" s="10" t="n">
        <v>0</v>
      </c>
      <c r="G444" s="20" t="n">
        <v>0.0970598953261892</v>
      </c>
      <c r="H444" s="10" t="n">
        <v>48</v>
      </c>
      <c r="I444" s="10" t="n">
        <v>0</v>
      </c>
    </row>
    <row r="445" customFormat="false" ht="15" hidden="false" customHeight="false" outlineLevel="0" collapsed="false">
      <c r="A445" s="10" t="s">
        <v>517</v>
      </c>
      <c r="B445" s="10" t="s">
        <v>53</v>
      </c>
      <c r="C445" s="10" t="s">
        <v>74</v>
      </c>
      <c r="D445" s="18" t="n">
        <v>249070</v>
      </c>
      <c r="E445" s="19" t="n">
        <v>0.856</v>
      </c>
      <c r="F445" s="10" t="n">
        <v>0</v>
      </c>
      <c r="G445" s="20" t="n">
        <v>0.197230209097337</v>
      </c>
      <c r="H445" s="10" t="n">
        <v>36</v>
      </c>
      <c r="I445" s="10" t="n">
        <v>0</v>
      </c>
    </row>
    <row r="446" customFormat="false" ht="15" hidden="false" customHeight="false" outlineLevel="0" collapsed="false">
      <c r="A446" s="10" t="s">
        <v>518</v>
      </c>
      <c r="B446" s="10" t="s">
        <v>62</v>
      </c>
      <c r="C446" s="10" t="s">
        <v>57</v>
      </c>
      <c r="D446" s="18" t="n">
        <v>84075</v>
      </c>
      <c r="E446" s="19" t="n">
        <v>0.245</v>
      </c>
      <c r="F446" s="10" t="n">
        <v>0</v>
      </c>
      <c r="G446" s="20" t="n">
        <v>0.123618875266153</v>
      </c>
      <c r="H446" s="10" t="n">
        <v>12</v>
      </c>
      <c r="I446" s="10" t="n">
        <v>0</v>
      </c>
    </row>
    <row r="447" customFormat="false" ht="15" hidden="false" customHeight="false" outlineLevel="0" collapsed="false">
      <c r="A447" s="10" t="s">
        <v>519</v>
      </c>
      <c r="B447" s="10" t="s">
        <v>56</v>
      </c>
      <c r="C447" s="10" t="s">
        <v>57</v>
      </c>
      <c r="D447" s="18" t="n">
        <v>39612</v>
      </c>
      <c r="E447" s="19" t="n">
        <v>0.39</v>
      </c>
      <c r="F447" s="10" t="n">
        <v>0</v>
      </c>
      <c r="G447" s="20" t="n">
        <v>0.210188422475609</v>
      </c>
      <c r="H447" s="10" t="n">
        <v>36</v>
      </c>
      <c r="I447" s="10" t="n">
        <v>0</v>
      </c>
    </row>
    <row r="448" customFormat="false" ht="15" hidden="false" customHeight="false" outlineLevel="0" collapsed="false">
      <c r="A448" s="10" t="s">
        <v>520</v>
      </c>
      <c r="B448" s="10" t="s">
        <v>53</v>
      </c>
      <c r="C448" s="10" t="s">
        <v>79</v>
      </c>
      <c r="D448" s="18" t="n">
        <v>60973</v>
      </c>
      <c r="E448" s="19" t="n">
        <v>0.783</v>
      </c>
      <c r="F448" s="10" t="n">
        <v>0</v>
      </c>
      <c r="G448" s="20" t="n">
        <v>0.112795571215672</v>
      </c>
      <c r="H448" s="10" t="n">
        <v>60</v>
      </c>
      <c r="I448" s="10" t="n">
        <v>0</v>
      </c>
    </row>
    <row r="449" customFormat="false" ht="15" hidden="false" customHeight="false" outlineLevel="0" collapsed="false">
      <c r="A449" s="10" t="s">
        <v>521</v>
      </c>
      <c r="B449" s="10" t="s">
        <v>88</v>
      </c>
      <c r="C449" s="10" t="s">
        <v>54</v>
      </c>
      <c r="D449" s="18" t="n">
        <v>51725</v>
      </c>
      <c r="E449" s="19" t="n">
        <v>0.571</v>
      </c>
      <c r="F449" s="10" t="n">
        <v>0</v>
      </c>
      <c r="G449" s="20" t="n">
        <v>0.001</v>
      </c>
      <c r="H449" s="10" t="n">
        <v>48</v>
      </c>
      <c r="I449" s="10" t="n">
        <v>0</v>
      </c>
    </row>
    <row r="450" customFormat="false" ht="15" hidden="false" customHeight="false" outlineLevel="0" collapsed="false">
      <c r="A450" s="10" t="s">
        <v>522</v>
      </c>
      <c r="B450" s="10" t="s">
        <v>76</v>
      </c>
      <c r="C450" s="10" t="s">
        <v>98</v>
      </c>
      <c r="D450" s="18" t="n">
        <v>30353</v>
      </c>
      <c r="E450" s="19" t="n">
        <v>0.05</v>
      </c>
      <c r="F450" s="10" t="n">
        <v>0</v>
      </c>
      <c r="G450" s="20" t="n">
        <v>0.150600358475574</v>
      </c>
      <c r="H450" s="10" t="n">
        <v>48</v>
      </c>
      <c r="I450" s="10" t="n">
        <v>0</v>
      </c>
    </row>
    <row r="451" customFormat="false" ht="15" hidden="false" customHeight="false" outlineLevel="0" collapsed="false">
      <c r="A451" s="10" t="s">
        <v>523</v>
      </c>
      <c r="B451" s="10" t="s">
        <v>62</v>
      </c>
      <c r="C451" s="10" t="s">
        <v>81</v>
      </c>
      <c r="D451" s="18" t="n">
        <v>68090</v>
      </c>
      <c r="E451" s="19" t="n">
        <v>0.83</v>
      </c>
      <c r="F451" s="10" t="n">
        <v>5</v>
      </c>
      <c r="G451" s="20" t="n">
        <v>0.167186167711003</v>
      </c>
      <c r="H451" s="10" t="n">
        <v>36</v>
      </c>
      <c r="I451" s="10" t="n">
        <v>1</v>
      </c>
    </row>
    <row r="452" customFormat="false" ht="15" hidden="false" customHeight="false" outlineLevel="0" collapsed="false">
      <c r="A452" s="10" t="s">
        <v>524</v>
      </c>
      <c r="B452" s="10" t="s">
        <v>56</v>
      </c>
      <c r="C452" s="10" t="s">
        <v>57</v>
      </c>
      <c r="D452" s="18" t="n">
        <v>165252</v>
      </c>
      <c r="E452" s="19" t="n">
        <v>0.633</v>
      </c>
      <c r="F452" s="10" t="n">
        <v>15</v>
      </c>
      <c r="G452" s="20" t="n">
        <v>0.221906183309754</v>
      </c>
      <c r="H452" s="10" t="n">
        <v>36</v>
      </c>
      <c r="I452" s="10" t="n">
        <v>0</v>
      </c>
    </row>
    <row r="453" customFormat="false" ht="15" hidden="false" customHeight="false" outlineLevel="0" collapsed="false">
      <c r="A453" s="10" t="s">
        <v>525</v>
      </c>
      <c r="B453" s="10" t="s">
        <v>76</v>
      </c>
      <c r="C453" s="10" t="s">
        <v>54</v>
      </c>
      <c r="D453" s="18" t="n">
        <v>245144</v>
      </c>
      <c r="E453" s="19" t="n">
        <v>0.617</v>
      </c>
      <c r="F453" s="10" t="n">
        <v>0</v>
      </c>
      <c r="G453" s="20" t="n">
        <v>0.215908797360902</v>
      </c>
      <c r="H453" s="10" t="n">
        <v>60</v>
      </c>
      <c r="I453" s="10" t="n">
        <v>1</v>
      </c>
    </row>
    <row r="454" customFormat="false" ht="15" hidden="false" customHeight="false" outlineLevel="0" collapsed="false">
      <c r="A454" s="10" t="s">
        <v>526</v>
      </c>
      <c r="B454" s="10" t="s">
        <v>64</v>
      </c>
      <c r="C454" s="10" t="s">
        <v>74</v>
      </c>
      <c r="D454" s="18" t="n">
        <v>32055</v>
      </c>
      <c r="E454" s="19" t="n">
        <v>0.432</v>
      </c>
      <c r="F454" s="10" t="n">
        <v>0</v>
      </c>
      <c r="G454" s="20" t="n">
        <v>0.074334768405332</v>
      </c>
      <c r="H454" s="10" t="n">
        <v>36</v>
      </c>
      <c r="I454" s="10" t="n">
        <v>0</v>
      </c>
    </row>
    <row r="455" customFormat="false" ht="15" hidden="false" customHeight="false" outlineLevel="0" collapsed="false">
      <c r="A455" s="10" t="s">
        <v>527</v>
      </c>
      <c r="B455" s="10" t="s">
        <v>67</v>
      </c>
      <c r="C455" s="10" t="s">
        <v>54</v>
      </c>
      <c r="D455" s="18" t="n">
        <v>55435</v>
      </c>
      <c r="E455" s="19" t="n">
        <v>0.05</v>
      </c>
      <c r="F455" s="10" t="n">
        <v>5</v>
      </c>
      <c r="G455" s="20" t="n">
        <v>0.0970666172127081</v>
      </c>
      <c r="H455" s="10" t="n">
        <v>24</v>
      </c>
      <c r="I455" s="10" t="n">
        <v>0</v>
      </c>
    </row>
    <row r="456" customFormat="false" ht="15" hidden="false" customHeight="false" outlineLevel="0" collapsed="false">
      <c r="A456" s="10" t="s">
        <v>528</v>
      </c>
      <c r="B456" s="10" t="s">
        <v>67</v>
      </c>
      <c r="C456" s="10" t="s">
        <v>74</v>
      </c>
      <c r="D456" s="18" t="n">
        <v>148843</v>
      </c>
      <c r="E456" s="19" t="n">
        <v>0.521</v>
      </c>
      <c r="F456" s="10" t="n">
        <v>0</v>
      </c>
      <c r="G456" s="20" t="n">
        <v>0.137531015248451</v>
      </c>
      <c r="H456" s="10" t="n">
        <v>60</v>
      </c>
      <c r="I456" s="10" t="n">
        <v>1</v>
      </c>
    </row>
    <row r="457" customFormat="false" ht="15" hidden="false" customHeight="false" outlineLevel="0" collapsed="false">
      <c r="A457" s="10" t="s">
        <v>529</v>
      </c>
      <c r="B457" s="10" t="s">
        <v>56</v>
      </c>
      <c r="C457" s="10" t="s">
        <v>72</v>
      </c>
      <c r="D457" s="18" t="n">
        <v>11275</v>
      </c>
      <c r="E457" s="19" t="n">
        <v>0.787</v>
      </c>
      <c r="F457" s="10" t="n">
        <v>5</v>
      </c>
      <c r="G457" s="20" t="n">
        <v>0.0336055084045188</v>
      </c>
      <c r="H457" s="10" t="n">
        <v>84</v>
      </c>
      <c r="I457" s="10" t="n">
        <v>0</v>
      </c>
    </row>
    <row r="458" customFormat="false" ht="15" hidden="false" customHeight="false" outlineLevel="0" collapsed="false">
      <c r="A458" s="10" t="s">
        <v>530</v>
      </c>
      <c r="B458" s="10" t="s">
        <v>64</v>
      </c>
      <c r="C458" s="10" t="s">
        <v>100</v>
      </c>
      <c r="D458" s="18" t="n">
        <v>71697</v>
      </c>
      <c r="E458" s="19" t="n">
        <v>0.87</v>
      </c>
      <c r="F458" s="10" t="n">
        <v>0</v>
      </c>
      <c r="G458" s="20" t="n">
        <v>0.179572766287735</v>
      </c>
      <c r="H458" s="10" t="n">
        <v>84</v>
      </c>
      <c r="I458" s="10" t="n">
        <v>0</v>
      </c>
    </row>
    <row r="459" customFormat="false" ht="15" hidden="false" customHeight="false" outlineLevel="0" collapsed="false">
      <c r="A459" s="10" t="s">
        <v>531</v>
      </c>
      <c r="B459" s="10" t="s">
        <v>62</v>
      </c>
      <c r="C459" s="10" t="s">
        <v>98</v>
      </c>
      <c r="D459" s="18" t="n">
        <v>169756</v>
      </c>
      <c r="E459" s="19" t="n">
        <v>0.383</v>
      </c>
      <c r="F459" s="10" t="n">
        <v>5</v>
      </c>
      <c r="G459" s="20" t="n">
        <v>0.129434063090928</v>
      </c>
      <c r="H459" s="10" t="n">
        <v>36</v>
      </c>
      <c r="I459" s="10" t="n">
        <v>0</v>
      </c>
    </row>
    <row r="460" customFormat="false" ht="15" hidden="false" customHeight="false" outlineLevel="0" collapsed="false">
      <c r="A460" s="10" t="s">
        <v>532</v>
      </c>
      <c r="B460" s="10" t="s">
        <v>88</v>
      </c>
      <c r="C460" s="10" t="s">
        <v>77</v>
      </c>
      <c r="D460" s="18" t="n">
        <v>40552</v>
      </c>
      <c r="E460" s="19" t="n">
        <v>0.213</v>
      </c>
      <c r="F460" s="10" t="n">
        <v>0</v>
      </c>
      <c r="G460" s="20" t="n">
        <v>0.147741684884178</v>
      </c>
      <c r="H460" s="10" t="n">
        <v>24</v>
      </c>
      <c r="I460" s="10" t="n">
        <v>0</v>
      </c>
    </row>
    <row r="461" customFormat="false" ht="15" hidden="false" customHeight="false" outlineLevel="0" collapsed="false">
      <c r="A461" s="10" t="s">
        <v>533</v>
      </c>
      <c r="B461" s="10" t="s">
        <v>59</v>
      </c>
      <c r="C461" s="10" t="s">
        <v>72</v>
      </c>
      <c r="D461" s="18" t="n">
        <v>87417</v>
      </c>
      <c r="E461" s="19" t="n">
        <v>0.558</v>
      </c>
      <c r="F461" s="10" t="n">
        <v>0</v>
      </c>
      <c r="G461" s="20" t="n">
        <v>0.191795855205458</v>
      </c>
      <c r="H461" s="10" t="n">
        <v>48</v>
      </c>
      <c r="I461" s="10" t="n">
        <v>1</v>
      </c>
    </row>
    <row r="462" customFormat="false" ht="15" hidden="false" customHeight="false" outlineLevel="0" collapsed="false">
      <c r="A462" s="10" t="s">
        <v>534</v>
      </c>
      <c r="B462" s="10" t="s">
        <v>62</v>
      </c>
      <c r="C462" s="10" t="s">
        <v>98</v>
      </c>
      <c r="D462" s="18" t="n">
        <v>11967</v>
      </c>
      <c r="E462" s="19" t="n">
        <v>0.211</v>
      </c>
      <c r="F462" s="10" t="n">
        <v>0</v>
      </c>
      <c r="G462" s="20" t="n">
        <v>0.191061359383653</v>
      </c>
      <c r="H462" s="10" t="n">
        <v>48</v>
      </c>
      <c r="I462" s="10" t="n">
        <v>0</v>
      </c>
    </row>
    <row r="463" customFormat="false" ht="15" hidden="false" customHeight="false" outlineLevel="0" collapsed="false">
      <c r="A463" s="10" t="s">
        <v>535</v>
      </c>
      <c r="B463" s="10" t="s">
        <v>67</v>
      </c>
      <c r="C463" s="10" t="s">
        <v>72</v>
      </c>
      <c r="D463" s="18" t="n">
        <v>34432</v>
      </c>
      <c r="E463" s="19" t="n">
        <v>0.628</v>
      </c>
      <c r="F463" s="10" t="n">
        <v>0</v>
      </c>
      <c r="G463" s="20" t="n">
        <v>0.0826473421891368</v>
      </c>
      <c r="H463" s="10" t="n">
        <v>60</v>
      </c>
      <c r="I463" s="10" t="n">
        <v>0</v>
      </c>
    </row>
    <row r="464" customFormat="false" ht="15" hidden="false" customHeight="false" outlineLevel="0" collapsed="false">
      <c r="A464" s="10" t="s">
        <v>536</v>
      </c>
      <c r="B464" s="10" t="s">
        <v>62</v>
      </c>
      <c r="C464" s="10" t="s">
        <v>89</v>
      </c>
      <c r="D464" s="18" t="n">
        <v>157182</v>
      </c>
      <c r="E464" s="19" t="n">
        <v>0.152</v>
      </c>
      <c r="F464" s="10" t="n">
        <v>0</v>
      </c>
      <c r="G464" s="20" t="n">
        <v>0.0310316193306908</v>
      </c>
      <c r="H464" s="10" t="n">
        <v>72</v>
      </c>
      <c r="I464" s="10" t="n">
        <v>0</v>
      </c>
    </row>
    <row r="465" customFormat="false" ht="15" hidden="false" customHeight="false" outlineLevel="0" collapsed="false">
      <c r="A465" s="10" t="s">
        <v>537</v>
      </c>
      <c r="B465" s="10" t="s">
        <v>69</v>
      </c>
      <c r="C465" s="10" t="s">
        <v>100</v>
      </c>
      <c r="D465" s="18" t="n">
        <v>90887</v>
      </c>
      <c r="E465" s="19" t="n">
        <v>0.745</v>
      </c>
      <c r="F465" s="10" t="n">
        <v>0</v>
      </c>
      <c r="G465" s="20" t="n">
        <v>0.001</v>
      </c>
      <c r="H465" s="10" t="n">
        <v>60</v>
      </c>
      <c r="I465" s="10" t="n">
        <v>0</v>
      </c>
    </row>
    <row r="466" customFormat="false" ht="15" hidden="false" customHeight="false" outlineLevel="0" collapsed="false">
      <c r="A466" s="10" t="s">
        <v>538</v>
      </c>
      <c r="B466" s="10" t="s">
        <v>64</v>
      </c>
      <c r="C466" s="10" t="s">
        <v>81</v>
      </c>
      <c r="D466" s="18" t="n">
        <v>51363</v>
      </c>
      <c r="E466" s="19" t="n">
        <v>0.298</v>
      </c>
      <c r="F466" s="10" t="n">
        <v>0</v>
      </c>
      <c r="G466" s="20" t="n">
        <v>0.219695057093864</v>
      </c>
      <c r="H466" s="10" t="n">
        <v>84</v>
      </c>
      <c r="I466" s="10" t="n">
        <v>0</v>
      </c>
    </row>
    <row r="467" customFormat="false" ht="15" hidden="false" customHeight="false" outlineLevel="0" collapsed="false">
      <c r="A467" s="10" t="s">
        <v>539</v>
      </c>
      <c r="B467" s="10" t="s">
        <v>64</v>
      </c>
      <c r="C467" s="10" t="s">
        <v>77</v>
      </c>
      <c r="D467" s="18" t="n">
        <v>69631</v>
      </c>
      <c r="E467" s="19" t="n">
        <v>0.448</v>
      </c>
      <c r="F467" s="10" t="n">
        <v>0</v>
      </c>
      <c r="G467" s="20" t="n">
        <v>0.175815996344188</v>
      </c>
      <c r="H467" s="10" t="n">
        <v>36</v>
      </c>
      <c r="I467" s="10" t="n">
        <v>0</v>
      </c>
    </row>
    <row r="468" customFormat="false" ht="15" hidden="false" customHeight="false" outlineLevel="0" collapsed="false">
      <c r="A468" s="10" t="s">
        <v>540</v>
      </c>
      <c r="B468" s="10" t="s">
        <v>83</v>
      </c>
      <c r="C468" s="10" t="s">
        <v>98</v>
      </c>
      <c r="D468" s="18" t="n">
        <v>56883</v>
      </c>
      <c r="E468" s="19" t="n">
        <v>0.469</v>
      </c>
      <c r="F468" s="10" t="n">
        <v>0</v>
      </c>
      <c r="G468" s="20" t="n">
        <v>0.213889790747596</v>
      </c>
      <c r="H468" s="10" t="n">
        <v>60</v>
      </c>
      <c r="I468" s="10" t="n">
        <v>0</v>
      </c>
    </row>
    <row r="469" customFormat="false" ht="15" hidden="false" customHeight="false" outlineLevel="0" collapsed="false">
      <c r="A469" s="10" t="s">
        <v>541</v>
      </c>
      <c r="B469" s="10" t="s">
        <v>62</v>
      </c>
      <c r="C469" s="10" t="s">
        <v>89</v>
      </c>
      <c r="D469" s="18" t="n">
        <v>121846</v>
      </c>
      <c r="E469" s="19" t="n">
        <v>0.251</v>
      </c>
      <c r="F469" s="10" t="n">
        <v>0</v>
      </c>
      <c r="G469" s="20" t="n">
        <v>0.0507198903010554</v>
      </c>
      <c r="H469" s="10" t="n">
        <v>120</v>
      </c>
      <c r="I469" s="10" t="n">
        <v>0</v>
      </c>
    </row>
    <row r="470" customFormat="false" ht="15" hidden="false" customHeight="false" outlineLevel="0" collapsed="false">
      <c r="A470" s="10" t="s">
        <v>542</v>
      </c>
      <c r="B470" s="10" t="s">
        <v>53</v>
      </c>
      <c r="C470" s="10" t="s">
        <v>54</v>
      </c>
      <c r="D470" s="18" t="n">
        <v>50211</v>
      </c>
      <c r="E470" s="19" t="n">
        <v>0.95</v>
      </c>
      <c r="F470" s="10" t="n">
        <v>0</v>
      </c>
      <c r="G470" s="20" t="n">
        <v>0.169179653017437</v>
      </c>
      <c r="H470" s="10" t="n">
        <v>36</v>
      </c>
      <c r="I470" s="10" t="n">
        <v>0</v>
      </c>
    </row>
    <row r="471" customFormat="false" ht="15" hidden="false" customHeight="false" outlineLevel="0" collapsed="false">
      <c r="A471" s="10" t="s">
        <v>543</v>
      </c>
      <c r="B471" s="10" t="s">
        <v>59</v>
      </c>
      <c r="C471" s="10" t="s">
        <v>60</v>
      </c>
      <c r="D471" s="18" t="n">
        <v>58701</v>
      </c>
      <c r="E471" s="19" t="n">
        <v>0.661</v>
      </c>
      <c r="F471" s="10" t="n">
        <v>0</v>
      </c>
      <c r="G471" s="20" t="n">
        <v>0.0742266051531083</v>
      </c>
      <c r="H471" s="10" t="n">
        <v>48</v>
      </c>
      <c r="I471" s="10" t="n">
        <v>0</v>
      </c>
    </row>
    <row r="472" customFormat="false" ht="15" hidden="false" customHeight="false" outlineLevel="0" collapsed="false">
      <c r="A472" s="10" t="s">
        <v>544</v>
      </c>
      <c r="B472" s="10" t="s">
        <v>56</v>
      </c>
      <c r="C472" s="10" t="s">
        <v>60</v>
      </c>
      <c r="D472" s="18" t="n">
        <v>53798</v>
      </c>
      <c r="E472" s="19" t="n">
        <v>0.219</v>
      </c>
      <c r="F472" s="10" t="n">
        <v>0</v>
      </c>
      <c r="G472" s="20" t="n">
        <v>0.0982129411038088</v>
      </c>
      <c r="H472" s="10" t="n">
        <v>24</v>
      </c>
      <c r="I472" s="10" t="n">
        <v>0</v>
      </c>
    </row>
    <row r="473" customFormat="false" ht="15" hidden="false" customHeight="false" outlineLevel="0" collapsed="false">
      <c r="A473" s="10" t="s">
        <v>545</v>
      </c>
      <c r="B473" s="10" t="s">
        <v>53</v>
      </c>
      <c r="C473" s="10" t="s">
        <v>60</v>
      </c>
      <c r="D473" s="18" t="n">
        <v>35442</v>
      </c>
      <c r="E473" s="19" t="n">
        <v>0.619</v>
      </c>
      <c r="F473" s="10" t="n">
        <v>0</v>
      </c>
      <c r="G473" s="20" t="n">
        <v>0.13930511193153</v>
      </c>
      <c r="H473" s="10" t="n">
        <v>60</v>
      </c>
      <c r="I473" s="10" t="n">
        <v>0</v>
      </c>
    </row>
    <row r="474" customFormat="false" ht="15" hidden="false" customHeight="false" outlineLevel="0" collapsed="false">
      <c r="A474" s="10" t="s">
        <v>546</v>
      </c>
      <c r="B474" s="10" t="s">
        <v>83</v>
      </c>
      <c r="C474" s="10" t="s">
        <v>77</v>
      </c>
      <c r="D474" s="18" t="n">
        <v>69315</v>
      </c>
      <c r="E474" s="19" t="n">
        <v>0.292</v>
      </c>
      <c r="F474" s="10" t="n">
        <v>5</v>
      </c>
      <c r="G474" s="20" t="n">
        <v>0.126813444592183</v>
      </c>
      <c r="H474" s="10" t="n">
        <v>36</v>
      </c>
      <c r="I474" s="10" t="n">
        <v>0</v>
      </c>
    </row>
    <row r="475" customFormat="false" ht="15" hidden="false" customHeight="false" outlineLevel="0" collapsed="false">
      <c r="A475" s="10" t="s">
        <v>547</v>
      </c>
      <c r="B475" s="10" t="s">
        <v>62</v>
      </c>
      <c r="C475" s="10" t="s">
        <v>98</v>
      </c>
      <c r="D475" s="18" t="n">
        <v>101284</v>
      </c>
      <c r="E475" s="19" t="n">
        <v>0.251</v>
      </c>
      <c r="F475" s="10" t="n">
        <v>0</v>
      </c>
      <c r="G475" s="20" t="n">
        <v>0.184432132923013</v>
      </c>
      <c r="H475" s="10" t="n">
        <v>36</v>
      </c>
      <c r="I475" s="10" t="n">
        <v>0</v>
      </c>
    </row>
    <row r="476" customFormat="false" ht="15" hidden="false" customHeight="false" outlineLevel="0" collapsed="false">
      <c r="A476" s="10" t="s">
        <v>548</v>
      </c>
      <c r="B476" s="10" t="s">
        <v>53</v>
      </c>
      <c r="C476" s="10" t="s">
        <v>60</v>
      </c>
      <c r="D476" s="18" t="n">
        <v>363608</v>
      </c>
      <c r="E476" s="19" t="n">
        <v>0.204</v>
      </c>
      <c r="F476" s="10" t="n">
        <v>0</v>
      </c>
      <c r="G476" s="20" t="n">
        <v>0.170201668475913</v>
      </c>
      <c r="H476" s="10" t="n">
        <v>48</v>
      </c>
      <c r="I476" s="10" t="n">
        <v>0</v>
      </c>
    </row>
    <row r="477" customFormat="false" ht="15" hidden="false" customHeight="false" outlineLevel="0" collapsed="false">
      <c r="A477" s="10" t="s">
        <v>549</v>
      </c>
      <c r="B477" s="10" t="s">
        <v>69</v>
      </c>
      <c r="C477" s="10" t="s">
        <v>54</v>
      </c>
      <c r="D477" s="18" t="n">
        <v>40804</v>
      </c>
      <c r="E477" s="19" t="n">
        <v>0.195</v>
      </c>
      <c r="F477" s="10" t="n">
        <v>5</v>
      </c>
      <c r="G477" s="20" t="n">
        <v>0.0954268144421341</v>
      </c>
      <c r="H477" s="10" t="n">
        <v>72</v>
      </c>
      <c r="I477" s="10" t="n">
        <v>0</v>
      </c>
    </row>
    <row r="478" customFormat="false" ht="15" hidden="false" customHeight="false" outlineLevel="0" collapsed="false">
      <c r="A478" s="10" t="s">
        <v>550</v>
      </c>
      <c r="B478" s="10" t="s">
        <v>64</v>
      </c>
      <c r="C478" s="10" t="s">
        <v>100</v>
      </c>
      <c r="D478" s="18" t="n">
        <v>195972</v>
      </c>
      <c r="E478" s="19" t="n">
        <v>0.244</v>
      </c>
      <c r="F478" s="10" t="n">
        <v>35</v>
      </c>
      <c r="G478" s="20" t="n">
        <v>0.348836479621537</v>
      </c>
      <c r="H478" s="10" t="n">
        <v>36</v>
      </c>
      <c r="I478" s="10" t="n">
        <v>0</v>
      </c>
    </row>
    <row r="479" customFormat="false" ht="15" hidden="false" customHeight="false" outlineLevel="0" collapsed="false">
      <c r="A479" s="10" t="s">
        <v>551</v>
      </c>
      <c r="B479" s="10" t="s">
        <v>62</v>
      </c>
      <c r="C479" s="10" t="s">
        <v>74</v>
      </c>
      <c r="D479" s="18" t="n">
        <v>66235</v>
      </c>
      <c r="E479" s="19" t="n">
        <v>0.155</v>
      </c>
      <c r="F479" s="10" t="n">
        <v>0</v>
      </c>
      <c r="G479" s="20" t="n">
        <v>0.125665857392178</v>
      </c>
      <c r="H479" s="10" t="n">
        <v>48</v>
      </c>
      <c r="I479" s="10" t="n">
        <v>0</v>
      </c>
    </row>
    <row r="480" customFormat="false" ht="15" hidden="false" customHeight="false" outlineLevel="0" collapsed="false">
      <c r="A480" s="10" t="s">
        <v>552</v>
      </c>
      <c r="B480" s="10" t="s">
        <v>59</v>
      </c>
      <c r="C480" s="10" t="s">
        <v>79</v>
      </c>
      <c r="D480" s="18" t="n">
        <v>4823</v>
      </c>
      <c r="E480" s="19" t="n">
        <v>0.329</v>
      </c>
      <c r="F480" s="10" t="n">
        <v>0</v>
      </c>
      <c r="G480" s="20" t="n">
        <v>0.136992171587866</v>
      </c>
      <c r="H480" s="10" t="n">
        <v>48</v>
      </c>
      <c r="I480" s="10" t="n">
        <v>0</v>
      </c>
    </row>
    <row r="481" customFormat="false" ht="15" hidden="false" customHeight="false" outlineLevel="0" collapsed="false">
      <c r="A481" s="10" t="s">
        <v>553</v>
      </c>
      <c r="B481" s="10" t="s">
        <v>76</v>
      </c>
      <c r="C481" s="10" t="s">
        <v>54</v>
      </c>
      <c r="D481" s="18" t="n">
        <v>97335</v>
      </c>
      <c r="E481" s="19" t="n">
        <v>0.206</v>
      </c>
      <c r="F481" s="10" t="n">
        <v>0</v>
      </c>
      <c r="G481" s="20" t="n">
        <v>0.0989709848891444</v>
      </c>
      <c r="H481" s="10" t="n">
        <v>36</v>
      </c>
      <c r="I481" s="10" t="n">
        <v>0</v>
      </c>
    </row>
    <row r="482" customFormat="false" ht="15" hidden="false" customHeight="false" outlineLevel="0" collapsed="false">
      <c r="A482" s="10" t="s">
        <v>554</v>
      </c>
      <c r="B482" s="10" t="s">
        <v>67</v>
      </c>
      <c r="C482" s="10" t="s">
        <v>60</v>
      </c>
      <c r="D482" s="18" t="n">
        <v>58458</v>
      </c>
      <c r="E482" s="19" t="n">
        <v>0.822</v>
      </c>
      <c r="F482" s="10" t="n">
        <v>0</v>
      </c>
      <c r="G482" s="20" t="n">
        <v>0.28560719360734</v>
      </c>
      <c r="H482" s="10" t="n">
        <v>48</v>
      </c>
      <c r="I482" s="10" t="n">
        <v>1</v>
      </c>
    </row>
    <row r="483" customFormat="false" ht="15" hidden="false" customHeight="false" outlineLevel="0" collapsed="false">
      <c r="A483" s="10" t="s">
        <v>555</v>
      </c>
      <c r="B483" s="10" t="s">
        <v>64</v>
      </c>
      <c r="C483" s="10" t="s">
        <v>81</v>
      </c>
      <c r="D483" s="18" t="n">
        <v>73629</v>
      </c>
      <c r="E483" s="19" t="n">
        <v>0.422</v>
      </c>
      <c r="F483" s="10" t="n">
        <v>15</v>
      </c>
      <c r="G483" s="20" t="n">
        <v>0.202728197219317</v>
      </c>
      <c r="H483" s="10" t="n">
        <v>60</v>
      </c>
      <c r="I483" s="10" t="n">
        <v>0</v>
      </c>
    </row>
    <row r="484" customFormat="false" ht="15" hidden="false" customHeight="false" outlineLevel="0" collapsed="false">
      <c r="A484" s="10" t="s">
        <v>556</v>
      </c>
      <c r="B484" s="10" t="s">
        <v>62</v>
      </c>
      <c r="C484" s="10" t="s">
        <v>54</v>
      </c>
      <c r="D484" s="18" t="n">
        <v>272165</v>
      </c>
      <c r="E484" s="19" t="n">
        <v>0.28</v>
      </c>
      <c r="F484" s="10" t="n">
        <v>0</v>
      </c>
      <c r="G484" s="20" t="n">
        <v>0.174391063815641</v>
      </c>
      <c r="H484" s="10" t="n">
        <v>84</v>
      </c>
      <c r="I484" s="10" t="n">
        <v>0</v>
      </c>
    </row>
    <row r="485" customFormat="false" ht="15" hidden="false" customHeight="false" outlineLevel="0" collapsed="false">
      <c r="A485" s="10" t="s">
        <v>557</v>
      </c>
      <c r="B485" s="10" t="s">
        <v>62</v>
      </c>
      <c r="C485" s="10" t="s">
        <v>74</v>
      </c>
      <c r="D485" s="18" t="n">
        <v>134109</v>
      </c>
      <c r="E485" s="19" t="n">
        <v>0.251</v>
      </c>
      <c r="F485" s="10" t="n">
        <v>0</v>
      </c>
      <c r="G485" s="20" t="n">
        <v>0.161607745940743</v>
      </c>
      <c r="H485" s="10" t="n">
        <v>60</v>
      </c>
      <c r="I485" s="10" t="n">
        <v>0</v>
      </c>
    </row>
    <row r="486" customFormat="false" ht="15" hidden="false" customHeight="false" outlineLevel="0" collapsed="false">
      <c r="A486" s="10" t="s">
        <v>558</v>
      </c>
      <c r="B486" s="10" t="s">
        <v>76</v>
      </c>
      <c r="C486" s="10" t="s">
        <v>100</v>
      </c>
      <c r="D486" s="18" t="n">
        <v>38559</v>
      </c>
      <c r="E486" s="19" t="n">
        <v>0.72</v>
      </c>
      <c r="F486" s="10" t="n">
        <v>0</v>
      </c>
      <c r="G486" s="20" t="n">
        <v>0.168793420669582</v>
      </c>
      <c r="H486" s="10" t="n">
        <v>84</v>
      </c>
      <c r="I486" s="10" t="n">
        <v>0</v>
      </c>
    </row>
    <row r="487" customFormat="false" ht="15" hidden="false" customHeight="false" outlineLevel="0" collapsed="false">
      <c r="A487" s="10" t="s">
        <v>559</v>
      </c>
      <c r="B487" s="10" t="s">
        <v>69</v>
      </c>
      <c r="C487" s="10" t="s">
        <v>57</v>
      </c>
      <c r="D487" s="18" t="n">
        <v>49209</v>
      </c>
      <c r="E487" s="19" t="n">
        <v>0.706</v>
      </c>
      <c r="F487" s="10" t="n">
        <v>5</v>
      </c>
      <c r="G487" s="20" t="n">
        <v>0.198920016566178</v>
      </c>
      <c r="H487" s="10" t="n">
        <v>24</v>
      </c>
      <c r="I487" s="10" t="n">
        <v>0</v>
      </c>
    </row>
    <row r="488" customFormat="false" ht="15" hidden="false" customHeight="false" outlineLevel="0" collapsed="false">
      <c r="A488" s="10" t="s">
        <v>560</v>
      </c>
      <c r="B488" s="10" t="s">
        <v>83</v>
      </c>
      <c r="C488" s="10" t="s">
        <v>89</v>
      </c>
      <c r="D488" s="18" t="n">
        <v>31040</v>
      </c>
      <c r="E488" s="19" t="n">
        <v>0.05</v>
      </c>
      <c r="F488" s="10" t="n">
        <v>0</v>
      </c>
      <c r="G488" s="20" t="n">
        <v>0.0980755174564824</v>
      </c>
      <c r="H488" s="10" t="n">
        <v>36</v>
      </c>
      <c r="I488" s="10" t="n">
        <v>0</v>
      </c>
    </row>
    <row r="489" customFormat="false" ht="15" hidden="false" customHeight="false" outlineLevel="0" collapsed="false">
      <c r="A489" s="10" t="s">
        <v>561</v>
      </c>
      <c r="B489" s="10" t="s">
        <v>62</v>
      </c>
      <c r="C489" s="10" t="s">
        <v>89</v>
      </c>
      <c r="D489" s="18" t="n">
        <v>51968</v>
      </c>
      <c r="E489" s="19" t="n">
        <v>0.405</v>
      </c>
      <c r="F489" s="10" t="n">
        <v>0</v>
      </c>
      <c r="G489" s="20" t="n">
        <v>0.160504131520579</v>
      </c>
      <c r="H489" s="10" t="n">
        <v>48</v>
      </c>
      <c r="I489" s="10" t="n">
        <v>0</v>
      </c>
    </row>
    <row r="490" customFormat="false" ht="15" hidden="false" customHeight="false" outlineLevel="0" collapsed="false">
      <c r="A490" s="10" t="s">
        <v>562</v>
      </c>
      <c r="B490" s="10" t="s">
        <v>56</v>
      </c>
      <c r="C490" s="10" t="s">
        <v>98</v>
      </c>
      <c r="D490" s="18" t="n">
        <v>28347</v>
      </c>
      <c r="E490" s="19" t="n">
        <v>0.203</v>
      </c>
      <c r="F490" s="10" t="n">
        <v>0</v>
      </c>
      <c r="G490" s="20" t="n">
        <v>0.0325317344648579</v>
      </c>
      <c r="H490" s="10" t="n">
        <v>24</v>
      </c>
      <c r="I490" s="10" t="n">
        <v>0</v>
      </c>
    </row>
    <row r="491" customFormat="false" ht="15" hidden="false" customHeight="false" outlineLevel="0" collapsed="false">
      <c r="A491" s="10" t="s">
        <v>563</v>
      </c>
      <c r="B491" s="10" t="s">
        <v>88</v>
      </c>
      <c r="C491" s="10" t="s">
        <v>57</v>
      </c>
      <c r="D491" s="18" t="n">
        <v>52939</v>
      </c>
      <c r="E491" s="19" t="n">
        <v>0.782</v>
      </c>
      <c r="F491" s="10" t="n">
        <v>0</v>
      </c>
      <c r="G491" s="20" t="n">
        <v>0.273825644540232</v>
      </c>
      <c r="H491" s="10" t="n">
        <v>48</v>
      </c>
      <c r="I491" s="10" t="n">
        <v>1</v>
      </c>
    </row>
    <row r="492" customFormat="false" ht="15" hidden="false" customHeight="false" outlineLevel="0" collapsed="false">
      <c r="A492" s="10" t="s">
        <v>564</v>
      </c>
      <c r="B492" s="10" t="s">
        <v>64</v>
      </c>
      <c r="C492" s="10" t="s">
        <v>100</v>
      </c>
      <c r="D492" s="18" t="n">
        <v>225244</v>
      </c>
      <c r="E492" s="19" t="n">
        <v>0.169</v>
      </c>
      <c r="F492" s="10" t="n">
        <v>0</v>
      </c>
      <c r="G492" s="20" t="n">
        <v>0.15271140558889</v>
      </c>
      <c r="H492" s="10" t="n">
        <v>48</v>
      </c>
      <c r="I492" s="10" t="n">
        <v>0</v>
      </c>
    </row>
    <row r="493" customFormat="false" ht="15" hidden="false" customHeight="false" outlineLevel="0" collapsed="false">
      <c r="A493" s="10" t="s">
        <v>565</v>
      </c>
      <c r="B493" s="10" t="s">
        <v>67</v>
      </c>
      <c r="C493" s="10" t="s">
        <v>54</v>
      </c>
      <c r="D493" s="18" t="n">
        <v>23871</v>
      </c>
      <c r="E493" s="19" t="n">
        <v>0.357</v>
      </c>
      <c r="F493" s="10" t="n">
        <v>5</v>
      </c>
      <c r="G493" s="20" t="n">
        <v>0.0367282708880549</v>
      </c>
      <c r="H493" s="10" t="n">
        <v>36</v>
      </c>
      <c r="I493" s="10" t="n">
        <v>0</v>
      </c>
    </row>
    <row r="494" customFormat="false" ht="15" hidden="false" customHeight="false" outlineLevel="0" collapsed="false">
      <c r="A494" s="10" t="s">
        <v>566</v>
      </c>
      <c r="B494" s="10" t="s">
        <v>83</v>
      </c>
      <c r="C494" s="10" t="s">
        <v>79</v>
      </c>
      <c r="D494" s="18" t="n">
        <v>40650</v>
      </c>
      <c r="E494" s="19" t="n">
        <v>0.233</v>
      </c>
      <c r="F494" s="10" t="n">
        <v>0</v>
      </c>
      <c r="G494" s="20" t="n">
        <v>0.138683186805403</v>
      </c>
      <c r="H494" s="10" t="n">
        <v>24</v>
      </c>
      <c r="I494" s="10" t="n">
        <v>0</v>
      </c>
    </row>
    <row r="495" customFormat="false" ht="15" hidden="false" customHeight="false" outlineLevel="0" collapsed="false">
      <c r="A495" s="10" t="s">
        <v>567</v>
      </c>
      <c r="B495" s="10" t="s">
        <v>64</v>
      </c>
      <c r="C495" s="10" t="s">
        <v>89</v>
      </c>
      <c r="D495" s="18" t="n">
        <v>91569</v>
      </c>
      <c r="E495" s="19" t="n">
        <v>0.395</v>
      </c>
      <c r="F495" s="10" t="n">
        <v>0</v>
      </c>
      <c r="G495" s="20" t="n">
        <v>0.0034320928645374</v>
      </c>
      <c r="H495" s="10" t="n">
        <v>36</v>
      </c>
      <c r="I495" s="10" t="n">
        <v>0</v>
      </c>
    </row>
    <row r="496" customFormat="false" ht="15" hidden="false" customHeight="false" outlineLevel="0" collapsed="false">
      <c r="A496" s="10" t="s">
        <v>568</v>
      </c>
      <c r="B496" s="10" t="s">
        <v>83</v>
      </c>
      <c r="C496" s="10" t="s">
        <v>74</v>
      </c>
      <c r="D496" s="18" t="n">
        <v>63941</v>
      </c>
      <c r="E496" s="19" t="n">
        <v>0.156</v>
      </c>
      <c r="F496" s="10" t="n">
        <v>0</v>
      </c>
      <c r="G496" s="20" t="n">
        <v>0.108942313281937</v>
      </c>
      <c r="H496" s="10" t="n">
        <v>72</v>
      </c>
      <c r="I496" s="10" t="n">
        <v>0</v>
      </c>
    </row>
    <row r="497" customFormat="false" ht="15" hidden="false" customHeight="false" outlineLevel="0" collapsed="false">
      <c r="A497" s="10" t="s">
        <v>569</v>
      </c>
      <c r="B497" s="10" t="s">
        <v>83</v>
      </c>
      <c r="C497" s="10" t="s">
        <v>54</v>
      </c>
      <c r="D497" s="18" t="n">
        <v>60443</v>
      </c>
      <c r="E497" s="19" t="n">
        <v>0.303</v>
      </c>
      <c r="F497" s="10" t="n">
        <v>0</v>
      </c>
      <c r="G497" s="20" t="n">
        <v>0.144359977775612</v>
      </c>
      <c r="H497" s="10" t="n">
        <v>36</v>
      </c>
      <c r="I497" s="10" t="n">
        <v>0</v>
      </c>
    </row>
    <row r="498" customFormat="false" ht="15" hidden="false" customHeight="false" outlineLevel="0" collapsed="false">
      <c r="A498" s="10" t="s">
        <v>570</v>
      </c>
      <c r="B498" s="10" t="s">
        <v>62</v>
      </c>
      <c r="C498" s="10" t="s">
        <v>98</v>
      </c>
      <c r="D498" s="18" t="n">
        <v>65600</v>
      </c>
      <c r="E498" s="19" t="n">
        <v>0.544</v>
      </c>
      <c r="F498" s="10" t="n">
        <v>0</v>
      </c>
      <c r="G498" s="20" t="n">
        <v>0.268603076574429</v>
      </c>
      <c r="H498" s="10" t="n">
        <v>60</v>
      </c>
      <c r="I498" s="10" t="n">
        <v>0</v>
      </c>
    </row>
    <row r="499" customFormat="false" ht="15" hidden="false" customHeight="false" outlineLevel="0" collapsed="false">
      <c r="A499" s="10" t="s">
        <v>571</v>
      </c>
      <c r="B499" s="10" t="s">
        <v>64</v>
      </c>
      <c r="C499" s="10" t="s">
        <v>98</v>
      </c>
      <c r="D499" s="18" t="n">
        <v>70520</v>
      </c>
      <c r="E499" s="19" t="n">
        <v>0.598</v>
      </c>
      <c r="F499" s="10" t="n">
        <v>0</v>
      </c>
      <c r="G499" s="20" t="n">
        <v>0.305281574598431</v>
      </c>
      <c r="H499" s="10" t="n">
        <v>60</v>
      </c>
      <c r="I499" s="10" t="n">
        <v>1</v>
      </c>
    </row>
    <row r="500" customFormat="false" ht="15" hidden="false" customHeight="false" outlineLevel="0" collapsed="false">
      <c r="A500" s="10" t="s">
        <v>572</v>
      </c>
      <c r="B500" s="10" t="s">
        <v>56</v>
      </c>
      <c r="C500" s="10" t="s">
        <v>81</v>
      </c>
      <c r="D500" s="18" t="n">
        <v>27160</v>
      </c>
      <c r="E500" s="19" t="n">
        <v>0.255</v>
      </c>
      <c r="F500" s="10" t="n">
        <v>0</v>
      </c>
      <c r="G500" s="20" t="n">
        <v>0.166806150970922</v>
      </c>
      <c r="H500" s="10" t="n">
        <v>60</v>
      </c>
      <c r="I500" s="10" t="n">
        <v>0</v>
      </c>
    </row>
    <row r="501" customFormat="false" ht="15" hidden="false" customHeight="false" outlineLevel="0" collapsed="false">
      <c r="A501" s="10" t="s">
        <v>573</v>
      </c>
      <c r="B501" s="10" t="s">
        <v>59</v>
      </c>
      <c r="C501" s="10" t="s">
        <v>72</v>
      </c>
      <c r="D501" s="18" t="n">
        <v>58535</v>
      </c>
      <c r="E501" s="19" t="n">
        <v>0.775</v>
      </c>
      <c r="F501" s="10" t="n">
        <v>0</v>
      </c>
      <c r="G501" s="20" t="n">
        <v>0.117621047562272</v>
      </c>
      <c r="H501" s="10" t="n">
        <v>60</v>
      </c>
      <c r="I501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14" min="3" style="0" width="14"/>
  </cols>
  <sheetData>
    <row r="1" customFormat="false" ht="15" hidden="false" customHeight="false" outlineLevel="0" collapsed="false">
      <c r="A1" s="2" t="s">
        <v>43</v>
      </c>
      <c r="B1" s="2" t="s">
        <v>44</v>
      </c>
      <c r="C1" s="2" t="s">
        <v>46</v>
      </c>
      <c r="D1" s="2" t="s">
        <v>49</v>
      </c>
      <c r="E1" s="2" t="s">
        <v>47</v>
      </c>
      <c r="F1" s="2" t="s">
        <v>48</v>
      </c>
      <c r="G1" s="2" t="s">
        <v>574</v>
      </c>
      <c r="H1" s="2" t="s">
        <v>575</v>
      </c>
      <c r="I1" s="2" t="s">
        <v>576</v>
      </c>
      <c r="J1" s="2" t="s">
        <v>577</v>
      </c>
      <c r="K1" s="2" t="s">
        <v>578</v>
      </c>
      <c r="L1" s="2" t="s">
        <v>579</v>
      </c>
      <c r="M1" s="2" t="s">
        <v>580</v>
      </c>
      <c r="N1" s="2" t="s">
        <v>581</v>
      </c>
    </row>
    <row r="2" customFormat="false" ht="15" hidden="false" customHeight="false" outlineLevel="0" collapsed="false">
      <c r="A2" s="17" t="str">
        <f aca="false">Portfolio!A2</f>
        <v>UKSME-101977</v>
      </c>
      <c r="B2" s="17" t="str">
        <f aca="false">Portfolio!B2</f>
        <v>Construction</v>
      </c>
      <c r="C2" s="21" t="n">
        <f aca="false">Portfolio!D2</f>
        <v>134823</v>
      </c>
      <c r="D2" s="22" t="n">
        <f aca="false">Portfolio!G2</f>
        <v>0.129273469496504</v>
      </c>
      <c r="E2" s="23" t="n">
        <f aca="false">Portfolio!E2</f>
        <v>0.929</v>
      </c>
      <c r="F2" s="17" t="n">
        <f aca="false">Portfolio!F2</f>
        <v>0</v>
      </c>
      <c r="G2" s="16" t="str">
        <f aca="false">IF(OR(F2&gt;='Cover &amp; Assumptions'!$C$22,Portfolio!I2=1),"Stage 3",IF(OR(F2&gt;=30,D2&gt;'Cover &amp; Assumptions'!$C$21),"Stage 2","Stage 1"))</f>
        <v>Stage 1</v>
      </c>
      <c r="H2" s="16" t="n">
        <f aca="false">IF(G2="Stage 1",12,MIN(Portfolio!H2,60))</f>
        <v>12</v>
      </c>
      <c r="I2" s="24" t="n">
        <f aca="false">1-(1-D2)^(H2/12)</f>
        <v>0.129273469496504</v>
      </c>
      <c r="J2" s="24" t="n">
        <f aca="false">IF(G2="Stage 1",D2,I2)</f>
        <v>0.129273469496504</v>
      </c>
      <c r="K2" s="25" t="n">
        <f aca="false">J2*'Cover &amp; Assumptions'!$D$11*E2*'Cover &amp; Assumptions'!$E$11*C2</f>
        <v>13074.6970971392</v>
      </c>
      <c r="L2" s="25" t="n">
        <f aca="false">J2*'Cover &amp; Assumptions'!$D$12*E2*'Cover &amp; Assumptions'!$E$12*C2</f>
        <v>16191.5753524943</v>
      </c>
      <c r="M2" s="25" t="n">
        <f aca="false">J2*'Cover &amp; Assumptions'!$D$13*E2*'Cover &amp; Assumptions'!$E$13*C2</f>
        <v>28173.3411133402</v>
      </c>
      <c r="N2" s="25" t="n">
        <f aca="false">K2*'Cover &amp; Assumptions'!$C$11+L2*'Cover &amp; Assumptions'!$C$12+M2*'Cover &amp; Assumptions'!$C$13</f>
        <v>18563.6411416348</v>
      </c>
    </row>
    <row r="3" customFormat="false" ht="15" hidden="false" customHeight="false" outlineLevel="0" collapsed="false">
      <c r="A3" s="17" t="str">
        <f aca="false">Portfolio!A3</f>
        <v>UKSME-103880</v>
      </c>
      <c r="B3" s="17" t="str">
        <f aca="false">Portfolio!B3</f>
        <v>Wholesale</v>
      </c>
      <c r="C3" s="21" t="n">
        <f aca="false">Portfolio!D3</f>
        <v>11687</v>
      </c>
      <c r="D3" s="22" t="n">
        <f aca="false">Portfolio!G3</f>
        <v>0.166573144027219</v>
      </c>
      <c r="E3" s="23" t="n">
        <f aca="false">Portfolio!E3</f>
        <v>0.571</v>
      </c>
      <c r="F3" s="17" t="n">
        <f aca="false">Portfolio!F3</f>
        <v>0</v>
      </c>
      <c r="G3" s="16" t="str">
        <f aca="false">IF(OR(F3&gt;='Cover &amp; Assumptions'!$C$22,Portfolio!I3=1),"Stage 3",IF(OR(F3&gt;=30,D3&gt;'Cover &amp; Assumptions'!$C$21),"Stage 2","Stage 1"))</f>
        <v>Stage 2</v>
      </c>
      <c r="H3" s="16" t="n">
        <f aca="false">IF(G3="Stage 1",12,MIN(Portfolio!H3,60))</f>
        <v>60</v>
      </c>
      <c r="I3" s="24" t="n">
        <f aca="false">1-(1-D3)^(H3/12)</f>
        <v>0.597896869454011</v>
      </c>
      <c r="J3" s="24" t="n">
        <f aca="false">IF(G3="Stage 1",D3,I3)</f>
        <v>0.597896869454011</v>
      </c>
      <c r="K3" s="25" t="n">
        <f aca="false">J3*'Cover &amp; Assumptions'!$D$11*E3*'Cover &amp; Assumptions'!$E$11*C3</f>
        <v>3221.86962754431</v>
      </c>
      <c r="L3" s="25" t="n">
        <f aca="false">J3*'Cover &amp; Assumptions'!$D$12*E3*'Cover &amp; Assumptions'!$E$12*C3</f>
        <v>3989.93142729945</v>
      </c>
      <c r="M3" s="25" t="n">
        <f aca="false">J3*'Cover &amp; Assumptions'!$D$13*E3*'Cover &amp; Assumptions'!$E$13*C3</f>
        <v>6942.48068350105</v>
      </c>
      <c r="N3" s="25" t="n">
        <f aca="false">K3*'Cover &amp; Assumptions'!$C$11+L3*'Cover &amp; Assumptions'!$C$12+M3*'Cover &amp; Assumptions'!$C$13</f>
        <v>4574.45638139882</v>
      </c>
    </row>
    <row r="4" customFormat="false" ht="15" hidden="false" customHeight="false" outlineLevel="0" collapsed="false">
      <c r="A4" s="17" t="str">
        <f aca="false">Portfolio!A4</f>
        <v>UKSME-100052</v>
      </c>
      <c r="B4" s="17" t="str">
        <f aca="false">Portfolio!B4</f>
        <v>Professional Services</v>
      </c>
      <c r="C4" s="21" t="n">
        <f aca="false">Portfolio!D4</f>
        <v>29277</v>
      </c>
      <c r="D4" s="22" t="n">
        <f aca="false">Portfolio!G4</f>
        <v>0.134934197899277</v>
      </c>
      <c r="E4" s="23" t="n">
        <f aca="false">Portfolio!E4</f>
        <v>0.252</v>
      </c>
      <c r="F4" s="17" t="n">
        <f aca="false">Portfolio!F4</f>
        <v>0</v>
      </c>
      <c r="G4" s="16" t="str">
        <f aca="false">IF(OR(F4&gt;='Cover &amp; Assumptions'!$C$22,Portfolio!I4=1),"Stage 3",IF(OR(F4&gt;=30,D4&gt;'Cover &amp; Assumptions'!$C$21),"Stage 2","Stage 1"))</f>
        <v>Stage 1</v>
      </c>
      <c r="H4" s="16" t="n">
        <f aca="false">IF(G4="Stage 1",12,MIN(Portfolio!H4,60))</f>
        <v>12</v>
      </c>
      <c r="I4" s="24" t="n">
        <f aca="false">1-(1-D4)^(H4/12)</f>
        <v>0.134934197899277</v>
      </c>
      <c r="J4" s="24" t="n">
        <f aca="false">IF(G4="Stage 1",D4,I4)</f>
        <v>0.134934197899277</v>
      </c>
      <c r="K4" s="25" t="n">
        <f aca="false">J4*'Cover &amp; Assumptions'!$D$11*E4*'Cover &amp; Assumptions'!$E$11*C4</f>
        <v>803.880837485947</v>
      </c>
      <c r="L4" s="25" t="n">
        <f aca="false">J4*'Cover &amp; Assumptions'!$D$12*E4*'Cover &amp; Assumptions'!$E$12*C4</f>
        <v>995.518064998077</v>
      </c>
      <c r="M4" s="25" t="n">
        <f aca="false">J4*'Cover &amp; Assumptions'!$D$13*E4*'Cover &amp; Assumptions'!$E$13*C4</f>
        <v>1732.20143309665</v>
      </c>
      <c r="N4" s="25" t="n">
        <f aca="false">K4*'Cover &amp; Assumptions'!$C$11+L4*'Cover &amp; Assumptions'!$C$12+M4*'Cover &amp; Assumptions'!$C$13</f>
        <v>1141.3614615203</v>
      </c>
    </row>
    <row r="5" customFormat="false" ht="15" hidden="false" customHeight="false" outlineLevel="0" collapsed="false">
      <c r="A5" s="17" t="str">
        <f aca="false">Portfolio!A5</f>
        <v>UKSME-102551</v>
      </c>
      <c r="B5" s="17" t="str">
        <f aca="false">Portfolio!B5</f>
        <v>Transport</v>
      </c>
      <c r="C5" s="21" t="n">
        <f aca="false">Portfolio!D5</f>
        <v>120662</v>
      </c>
      <c r="D5" s="22" t="n">
        <f aca="false">Portfolio!G5</f>
        <v>0.130450597583029</v>
      </c>
      <c r="E5" s="23" t="n">
        <f aca="false">Portfolio!E5</f>
        <v>0.147</v>
      </c>
      <c r="F5" s="17" t="n">
        <f aca="false">Portfolio!F5</f>
        <v>0</v>
      </c>
      <c r="G5" s="16" t="str">
        <f aca="false">IF(OR(F5&gt;='Cover &amp; Assumptions'!$C$22,Portfolio!I5=1),"Stage 3",IF(OR(F5&gt;=30,D5&gt;'Cover &amp; Assumptions'!$C$21),"Stage 2","Stage 1"))</f>
        <v>Stage 3</v>
      </c>
      <c r="H5" s="16" t="n">
        <f aca="false">IF(G5="Stage 1",12,MIN(Portfolio!H5,60))</f>
        <v>60</v>
      </c>
      <c r="I5" s="24" t="n">
        <f aca="false">1-(1-D5)^(H5/12)</f>
        <v>0.502868474371723</v>
      </c>
      <c r="J5" s="24" t="n">
        <f aca="false">IF(G5="Stage 1",D5,I5)</f>
        <v>0.502868474371723</v>
      </c>
      <c r="K5" s="25" t="n">
        <f aca="false">J5*'Cover &amp; Assumptions'!$D$11*E5*'Cover &amp; Assumptions'!$E$11*C5</f>
        <v>7202.5253447355</v>
      </c>
      <c r="L5" s="25" t="n">
        <f aca="false">J5*'Cover &amp; Assumptions'!$D$12*E5*'Cover &amp; Assumptions'!$E$12*C5</f>
        <v>8919.5360306322</v>
      </c>
      <c r="M5" s="25" t="n">
        <f aca="false">J5*'Cover &amp; Assumptions'!$D$13*E5*'Cover &amp; Assumptions'!$E$13*C5</f>
        <v>15519.9926933</v>
      </c>
      <c r="N5" s="25" t="n">
        <f aca="false">K5*'Cover &amp; Assumptions'!$C$11+L5*'Cover &amp; Assumptions'!$C$12+M5*'Cover &amp; Assumptions'!$C$13</f>
        <v>10226.2480591198</v>
      </c>
    </row>
    <row r="6" customFormat="false" ht="15" hidden="false" customHeight="false" outlineLevel="0" collapsed="false">
      <c r="A6" s="17" t="str">
        <f aca="false">Portfolio!A6</f>
        <v>UKSME-102246</v>
      </c>
      <c r="B6" s="17" t="str">
        <f aca="false">Portfolio!B6</f>
        <v>Hospitality</v>
      </c>
      <c r="C6" s="21" t="n">
        <f aca="false">Portfolio!D6</f>
        <v>30592</v>
      </c>
      <c r="D6" s="22" t="n">
        <f aca="false">Portfolio!G6</f>
        <v>0.0101670415441454</v>
      </c>
      <c r="E6" s="23" t="n">
        <f aca="false">Portfolio!E6</f>
        <v>0.891</v>
      </c>
      <c r="F6" s="17" t="n">
        <f aca="false">Portfolio!F6</f>
        <v>0</v>
      </c>
      <c r="G6" s="16" t="str">
        <f aca="false">IF(OR(F6&gt;='Cover &amp; Assumptions'!$C$22,Portfolio!I6=1),"Stage 3",IF(OR(F6&gt;=30,D6&gt;'Cover &amp; Assumptions'!$C$21),"Stage 2","Stage 1"))</f>
        <v>Stage 1</v>
      </c>
      <c r="H6" s="16" t="n">
        <f aca="false">IF(G6="Stage 1",12,MIN(Portfolio!H6,60))</f>
        <v>12</v>
      </c>
      <c r="I6" s="24" t="n">
        <f aca="false">1-(1-D6)^(H6/12)</f>
        <v>0.0101670415441454</v>
      </c>
      <c r="J6" s="24" t="n">
        <f aca="false">IF(G6="Stage 1",D6,I6)</f>
        <v>0.0101670415441454</v>
      </c>
      <c r="K6" s="25" t="n">
        <f aca="false">J6*'Cover &amp; Assumptions'!$D$11*E6*'Cover &amp; Assumptions'!$E$11*C6</f>
        <v>223.780739046497</v>
      </c>
      <c r="L6" s="25" t="n">
        <f aca="false">J6*'Cover &amp; Assumptions'!$D$12*E6*'Cover &amp; Assumptions'!$E$12*C6</f>
        <v>277.12785021238</v>
      </c>
      <c r="M6" s="25" t="n">
        <f aca="false">J6*'Cover &amp; Assumptions'!$D$13*E6*'Cover &amp; Assumptions'!$E$13*C6</f>
        <v>482.202459369541</v>
      </c>
      <c r="N6" s="25" t="n">
        <f aca="false">K6*'Cover &amp; Assumptions'!$C$11+L6*'Cover &amp; Assumptions'!$C$12+M6*'Cover &amp; Assumptions'!$C$13</f>
        <v>317.727080268494</v>
      </c>
    </row>
    <row r="7" customFormat="false" ht="15" hidden="false" customHeight="false" outlineLevel="0" collapsed="false">
      <c r="A7" s="17" t="str">
        <f aca="false">Portfolio!A7</f>
        <v>UKSME-100270</v>
      </c>
      <c r="B7" s="17" t="str">
        <f aca="false">Portfolio!B7</f>
        <v>Construction</v>
      </c>
      <c r="C7" s="21" t="n">
        <f aca="false">Portfolio!D7</f>
        <v>171778</v>
      </c>
      <c r="D7" s="22" t="n">
        <f aca="false">Portfolio!G7</f>
        <v>0.239097307668319</v>
      </c>
      <c r="E7" s="23" t="n">
        <f aca="false">Portfolio!E7</f>
        <v>0.577</v>
      </c>
      <c r="F7" s="17" t="n">
        <f aca="false">Portfolio!F7</f>
        <v>0</v>
      </c>
      <c r="G7" s="16" t="str">
        <f aca="false">IF(OR(F7&gt;='Cover &amp; Assumptions'!$C$22,Portfolio!I7=1),"Stage 3",IF(OR(F7&gt;=30,D7&gt;'Cover &amp; Assumptions'!$C$21),"Stage 2","Stage 1"))</f>
        <v>Stage 2</v>
      </c>
      <c r="H7" s="16" t="n">
        <f aca="false">IF(G7="Stage 1",12,MIN(Portfolio!H7,60))</f>
        <v>36</v>
      </c>
      <c r="I7" s="24" t="n">
        <f aca="false">1-(1-D7)^(H7/12)</f>
        <v>0.559457956126245</v>
      </c>
      <c r="J7" s="24" t="n">
        <f aca="false">IF(G7="Stage 1",D7,I7)</f>
        <v>0.559457956126245</v>
      </c>
      <c r="K7" s="25" t="n">
        <f aca="false">J7*'Cover &amp; Assumptions'!$D$11*E7*'Cover &amp; Assumptions'!$E$11*C7</f>
        <v>44776.8296187166</v>
      </c>
      <c r="L7" s="25" t="n">
        <f aca="false">J7*'Cover &amp; Assumptions'!$D$12*E7*'Cover &amp; Assumptions'!$E$12*C7</f>
        <v>55451.1821903611</v>
      </c>
      <c r="M7" s="25" t="n">
        <f aca="false">J7*'Cover &amp; Assumptions'!$D$13*E7*'Cover &amp; Assumptions'!$E$13*C7</f>
        <v>96485.0570112282</v>
      </c>
      <c r="N7" s="25" t="n">
        <f aca="false">K7*'Cover &amp; Assumptions'!$C$11+L7*'Cover &amp; Assumptions'!$C$12+M7*'Cover &amp; Assumptions'!$C$13</f>
        <v>63574.780381249</v>
      </c>
    </row>
    <row r="8" customFormat="false" ht="15" hidden="false" customHeight="false" outlineLevel="0" collapsed="false">
      <c r="A8" s="17" t="str">
        <f aca="false">Portfolio!A8</f>
        <v>UKSME-100601</v>
      </c>
      <c r="B8" s="17" t="str">
        <f aca="false">Portfolio!B8</f>
        <v>Healthcare</v>
      </c>
      <c r="C8" s="21" t="n">
        <f aca="false">Portfolio!D8</f>
        <v>211880</v>
      </c>
      <c r="D8" s="22" t="n">
        <f aca="false">Portfolio!G8</f>
        <v>0.062716066456547</v>
      </c>
      <c r="E8" s="23" t="n">
        <f aca="false">Portfolio!E8</f>
        <v>0.214</v>
      </c>
      <c r="F8" s="17" t="n">
        <f aca="false">Portfolio!F8</f>
        <v>0</v>
      </c>
      <c r="G8" s="16" t="str">
        <f aca="false">IF(OR(F8&gt;='Cover &amp; Assumptions'!$C$22,Portfolio!I8=1),"Stage 3",IF(OR(F8&gt;=30,D8&gt;'Cover &amp; Assumptions'!$C$21),"Stage 2","Stage 1"))</f>
        <v>Stage 1</v>
      </c>
      <c r="H8" s="16" t="n">
        <f aca="false">IF(G8="Stage 1",12,MIN(Portfolio!H8,60))</f>
        <v>12</v>
      </c>
      <c r="I8" s="24" t="n">
        <f aca="false">1-(1-D8)^(H8/12)</f>
        <v>0.062716066456547</v>
      </c>
      <c r="J8" s="24" t="n">
        <f aca="false">IF(G8="Stage 1",D8,I8)</f>
        <v>0.062716066456547</v>
      </c>
      <c r="K8" s="25" t="n">
        <f aca="false">J8*'Cover &amp; Assumptions'!$D$11*E8*'Cover &amp; Assumptions'!$E$11*C8</f>
        <v>2296.28125318932</v>
      </c>
      <c r="L8" s="25" t="n">
        <f aca="false">J8*'Cover &amp; Assumptions'!$D$12*E8*'Cover &amp; Assumptions'!$E$12*C8</f>
        <v>2843.69195441402</v>
      </c>
      <c r="M8" s="25" t="n">
        <f aca="false">J8*'Cover &amp; Assumptions'!$D$13*E8*'Cover &amp; Assumptions'!$E$13*C8</f>
        <v>4948.02400068039</v>
      </c>
      <c r="N8" s="25" t="n">
        <f aca="false">K8*'Cover &amp; Assumptions'!$C$11+L8*'Cover &amp; Assumptions'!$C$12+M8*'Cover &amp; Assumptions'!$C$13</f>
        <v>3260.29282573567</v>
      </c>
    </row>
    <row r="9" customFormat="false" ht="15" hidden="false" customHeight="false" outlineLevel="0" collapsed="false">
      <c r="A9" s="17" t="str">
        <f aca="false">Portfolio!A9</f>
        <v>UKSME-102441</v>
      </c>
      <c r="B9" s="17" t="str">
        <f aca="false">Portfolio!B9</f>
        <v>Manufacturing</v>
      </c>
      <c r="C9" s="21" t="n">
        <f aca="false">Portfolio!D9</f>
        <v>92085</v>
      </c>
      <c r="D9" s="22" t="n">
        <f aca="false">Portfolio!G9</f>
        <v>0.23648718511993</v>
      </c>
      <c r="E9" s="23" t="n">
        <f aca="false">Portfolio!E9</f>
        <v>0.599</v>
      </c>
      <c r="F9" s="17" t="n">
        <f aca="false">Portfolio!F9</f>
        <v>0</v>
      </c>
      <c r="G9" s="16" t="str">
        <f aca="false">IF(OR(F9&gt;='Cover &amp; Assumptions'!$C$22,Portfolio!I9=1),"Stage 3",IF(OR(F9&gt;=30,D9&gt;'Cover &amp; Assumptions'!$C$21),"Stage 2","Stage 1"))</f>
        <v>Stage 2</v>
      </c>
      <c r="H9" s="16" t="n">
        <f aca="false">IF(G9="Stage 1",12,MIN(Portfolio!H9,60))</f>
        <v>48</v>
      </c>
      <c r="I9" s="24" t="n">
        <f aca="false">1-(1-D9)^(H9/12)</f>
        <v>0.660167177323763</v>
      </c>
      <c r="J9" s="24" t="n">
        <f aca="false">IF(G9="Stage 1",D9,I9)</f>
        <v>0.660167177323763</v>
      </c>
      <c r="K9" s="25" t="n">
        <f aca="false">J9*'Cover &amp; Assumptions'!$D$11*E9*'Cover &amp; Assumptions'!$E$11*C9</f>
        <v>29404.3899649815</v>
      </c>
      <c r="L9" s="25" t="n">
        <f aca="false">J9*'Cover &amp; Assumptions'!$D$12*E9*'Cover &amp; Assumptions'!$E$12*C9</f>
        <v>36414.1052197914</v>
      </c>
      <c r="M9" s="25" t="n">
        <f aca="false">J9*'Cover &amp; Assumptions'!$D$13*E9*'Cover &amp; Assumptions'!$E$13*C9</f>
        <v>63360.543082437</v>
      </c>
      <c r="N9" s="25" t="n">
        <f aca="false">K9*'Cover &amp; Assumptions'!$C$11+L9*'Cover &amp; Assumptions'!$C$12+M9*'Cover &amp; Assumptions'!$C$13</f>
        <v>41748.7716344908</v>
      </c>
    </row>
    <row r="10" customFormat="false" ht="15" hidden="false" customHeight="false" outlineLevel="0" collapsed="false">
      <c r="A10" s="17" t="str">
        <f aca="false">Portfolio!A10</f>
        <v>UKSME-103286</v>
      </c>
      <c r="B10" s="17" t="str">
        <f aca="false">Portfolio!B10</f>
        <v>Transport</v>
      </c>
      <c r="C10" s="21" t="n">
        <f aca="false">Portfolio!D10</f>
        <v>386439</v>
      </c>
      <c r="D10" s="22" t="n">
        <f aca="false">Portfolio!G10</f>
        <v>0.263698413721609</v>
      </c>
      <c r="E10" s="23" t="n">
        <f aca="false">Portfolio!E10</f>
        <v>0.819</v>
      </c>
      <c r="F10" s="17" t="n">
        <f aca="false">Portfolio!F10</f>
        <v>0</v>
      </c>
      <c r="G10" s="16" t="str">
        <f aca="false">IF(OR(F10&gt;='Cover &amp; Assumptions'!$C$22,Portfolio!I10=1),"Stage 3",IF(OR(F10&gt;=30,D10&gt;'Cover &amp; Assumptions'!$C$21),"Stage 2","Stage 1"))</f>
        <v>Stage 2</v>
      </c>
      <c r="H10" s="16" t="n">
        <f aca="false">IF(G10="Stage 1",12,MIN(Portfolio!H10,60))</f>
        <v>24</v>
      </c>
      <c r="I10" s="24" t="n">
        <f aca="false">1-(1-D10)^(H10/12)</f>
        <v>0.457859974043925</v>
      </c>
      <c r="J10" s="24" t="n">
        <f aca="false">IF(G10="Stage 1",D10,I10)</f>
        <v>0.457859974043925</v>
      </c>
      <c r="K10" s="25" t="n">
        <f aca="false">J10*'Cover &amp; Assumptions'!$D$11*E10*'Cover &amp; Assumptions'!$E$11*C10</f>
        <v>117014.602507369</v>
      </c>
      <c r="L10" s="25" t="n">
        <f aca="false">J10*'Cover &amp; Assumptions'!$D$12*E10*'Cover &amp; Assumptions'!$E$12*C10</f>
        <v>144909.72446733</v>
      </c>
      <c r="M10" s="25" t="n">
        <f aca="false">J10*'Cover &amp; Assumptions'!$D$13*E10*'Cover &amp; Assumptions'!$E$13*C10</f>
        <v>252142.920573154</v>
      </c>
      <c r="N10" s="25" t="n">
        <f aca="false">K10*'Cover &amp; Assumptions'!$C$11+L10*'Cover &amp; Assumptions'!$C$12+M10*'Cover &amp; Assumptions'!$C$13</f>
        <v>166138.999101794</v>
      </c>
    </row>
    <row r="11" customFormat="false" ht="15" hidden="false" customHeight="false" outlineLevel="0" collapsed="false">
      <c r="A11" s="17" t="str">
        <f aca="false">Portfolio!A11</f>
        <v>UKSME-102967</v>
      </c>
      <c r="B11" s="17" t="str">
        <f aca="false">Portfolio!B11</f>
        <v>Transport</v>
      </c>
      <c r="C11" s="21" t="n">
        <f aca="false">Portfolio!D11</f>
        <v>58726</v>
      </c>
      <c r="D11" s="22" t="n">
        <f aca="false">Portfolio!G11</f>
        <v>0.0778274897637797</v>
      </c>
      <c r="E11" s="23" t="n">
        <f aca="false">Portfolio!E11</f>
        <v>0.05</v>
      </c>
      <c r="F11" s="17" t="n">
        <f aca="false">Portfolio!F11</f>
        <v>0</v>
      </c>
      <c r="G11" s="16" t="str">
        <f aca="false">IF(OR(F11&gt;='Cover &amp; Assumptions'!$C$22,Portfolio!I11=1),"Stage 3",IF(OR(F11&gt;=30,D11&gt;'Cover &amp; Assumptions'!$C$21),"Stage 2","Stage 1"))</f>
        <v>Stage 1</v>
      </c>
      <c r="H11" s="16" t="n">
        <f aca="false">IF(G11="Stage 1",12,MIN(Portfolio!H11,60))</f>
        <v>12</v>
      </c>
      <c r="I11" s="24" t="n">
        <f aca="false">1-(1-D11)^(H11/12)</f>
        <v>0.0778274897637797</v>
      </c>
      <c r="J11" s="24" t="n">
        <f aca="false">IF(G11="Stage 1",D11,I11)</f>
        <v>0.0778274897637797</v>
      </c>
      <c r="K11" s="25" t="n">
        <f aca="false">J11*'Cover &amp; Assumptions'!$D$11*E11*'Cover &amp; Assumptions'!$E$11*C11</f>
        <v>184.533822991159</v>
      </c>
      <c r="L11" s="25" t="n">
        <f aca="false">J11*'Cover &amp; Assumptions'!$D$12*E11*'Cover &amp; Assumptions'!$E$12*C11</f>
        <v>228.524858193386</v>
      </c>
      <c r="M11" s="25" t="n">
        <f aca="false">J11*'Cover &amp; Assumptions'!$D$13*E11*'Cover &amp; Assumptions'!$E$13*C11</f>
        <v>397.633253256492</v>
      </c>
      <c r="N11" s="25" t="n">
        <f aca="false">K11*'Cover &amp; Assumptions'!$C$11+L11*'Cover &amp; Assumptions'!$C$12+M11*'Cover &amp; Assumptions'!$C$13</f>
        <v>262.003749918717</v>
      </c>
    </row>
    <row r="12" customFormat="false" ht="15" hidden="false" customHeight="false" outlineLevel="0" collapsed="false">
      <c r="A12" s="17" t="str">
        <f aca="false">Portfolio!A12</f>
        <v>UKSME-104712</v>
      </c>
      <c r="B12" s="17" t="str">
        <f aca="false">Portfolio!B12</f>
        <v>Real Estate</v>
      </c>
      <c r="C12" s="21" t="n">
        <f aca="false">Portfolio!D12</f>
        <v>49936</v>
      </c>
      <c r="D12" s="22" t="n">
        <f aca="false">Portfolio!G12</f>
        <v>0.25555500214069</v>
      </c>
      <c r="E12" s="23" t="n">
        <f aca="false">Portfolio!E12</f>
        <v>0.661</v>
      </c>
      <c r="F12" s="17" t="n">
        <f aca="false">Portfolio!F12</f>
        <v>0</v>
      </c>
      <c r="G12" s="16" t="str">
        <f aca="false">IF(OR(F12&gt;='Cover &amp; Assumptions'!$C$22,Portfolio!I12=1),"Stage 3",IF(OR(F12&gt;=30,D12&gt;'Cover &amp; Assumptions'!$C$21),"Stage 2","Stage 1"))</f>
        <v>Stage 3</v>
      </c>
      <c r="H12" s="16" t="n">
        <f aca="false">IF(G12="Stage 1",12,MIN(Portfolio!H12,60))</f>
        <v>36</v>
      </c>
      <c r="I12" s="24" t="n">
        <f aca="false">1-(1-D12)^(H12/12)</f>
        <v>0.587429806919179</v>
      </c>
      <c r="J12" s="24" t="n">
        <f aca="false">IF(G12="Stage 1",D12,I12)</f>
        <v>0.587429806919179</v>
      </c>
      <c r="K12" s="25" t="n">
        <f aca="false">J12*'Cover &amp; Assumptions'!$D$11*E12*'Cover &amp; Assumptions'!$E$11*C12</f>
        <v>15657.1863741625</v>
      </c>
      <c r="L12" s="25" t="n">
        <f aca="false">J12*'Cover &amp; Assumptions'!$D$12*E12*'Cover &amp; Assumptions'!$E$12*C12</f>
        <v>19389.7044881269</v>
      </c>
      <c r="M12" s="25" t="n">
        <f aca="false">J12*'Cover &amp; Assumptions'!$D$13*E12*'Cover &amp; Assumptions'!$E$13*C12</f>
        <v>33738.0858093409</v>
      </c>
      <c r="N12" s="25" t="n">
        <f aca="false">K12*'Cover &amp; Assumptions'!$C$11+L12*'Cover &amp; Assumptions'!$C$12+M12*'Cover &amp; Assumptions'!$C$13</f>
        <v>22230.2961956375</v>
      </c>
    </row>
    <row r="13" customFormat="false" ht="15" hidden="false" customHeight="false" outlineLevel="0" collapsed="false">
      <c r="A13" s="17" t="str">
        <f aca="false">Portfolio!A13</f>
        <v>UKSME-109032</v>
      </c>
      <c r="B13" s="17" t="str">
        <f aca="false">Portfolio!B13</f>
        <v>Hospitality</v>
      </c>
      <c r="C13" s="21" t="n">
        <f aca="false">Portfolio!D13</f>
        <v>41912</v>
      </c>
      <c r="D13" s="22" t="n">
        <f aca="false">Portfolio!G13</f>
        <v>0.198813681289656</v>
      </c>
      <c r="E13" s="23" t="n">
        <f aca="false">Portfolio!E13</f>
        <v>0.806</v>
      </c>
      <c r="F13" s="17" t="n">
        <f aca="false">Portfolio!F13</f>
        <v>0</v>
      </c>
      <c r="G13" s="16" t="str">
        <f aca="false">IF(OR(F13&gt;='Cover &amp; Assumptions'!$C$22,Portfolio!I13=1),"Stage 3",IF(OR(F13&gt;=30,D13&gt;'Cover &amp; Assumptions'!$C$21),"Stage 2","Stage 1"))</f>
        <v>Stage 2</v>
      </c>
      <c r="H13" s="16" t="n">
        <f aca="false">IF(G13="Stage 1",12,MIN(Portfolio!H13,60))</f>
        <v>48</v>
      </c>
      <c r="I13" s="24" t="n">
        <f aca="false">1-(1-D13)^(H13/12)</f>
        <v>0.58796500970462</v>
      </c>
      <c r="J13" s="24" t="n">
        <f aca="false">IF(G13="Stage 1",D13,I13)</f>
        <v>0.58796500970462</v>
      </c>
      <c r="K13" s="25" t="n">
        <f aca="false">J13*'Cover &amp; Assumptions'!$D$11*E13*'Cover &amp; Assumptions'!$E$11*C13</f>
        <v>16038.6363234973</v>
      </c>
      <c r="L13" s="25" t="n">
        <f aca="false">J13*'Cover &amp; Assumptions'!$D$12*E13*'Cover &amp; Assumptions'!$E$12*C13</f>
        <v>19862.0883263125</v>
      </c>
      <c r="M13" s="25" t="n">
        <f aca="false">J13*'Cover &amp; Assumptions'!$D$13*E13*'Cover &amp; Assumptions'!$E$13*C13</f>
        <v>34560.0336877837</v>
      </c>
      <c r="N13" s="25" t="n">
        <f aca="false">K13*'Cover &amp; Assumptions'!$C$11+L13*'Cover &amp; Assumptions'!$C$12+M13*'Cover &amp; Assumptions'!$C$13</f>
        <v>22771.8842661172</v>
      </c>
    </row>
    <row r="14" customFormat="false" ht="15" hidden="false" customHeight="false" outlineLevel="0" collapsed="false">
      <c r="A14" s="17" t="str">
        <f aca="false">Portfolio!A14</f>
        <v>UKSME-101787</v>
      </c>
      <c r="B14" s="17" t="str">
        <f aca="false">Portfolio!B14</f>
        <v>Healthcare</v>
      </c>
      <c r="C14" s="21" t="n">
        <f aca="false">Portfolio!D14</f>
        <v>101623</v>
      </c>
      <c r="D14" s="22" t="n">
        <f aca="false">Portfolio!G14</f>
        <v>0.229858953835898</v>
      </c>
      <c r="E14" s="23" t="n">
        <f aca="false">Portfolio!E14</f>
        <v>0.713</v>
      </c>
      <c r="F14" s="17" t="n">
        <f aca="false">Portfolio!F14</f>
        <v>0</v>
      </c>
      <c r="G14" s="16" t="str">
        <f aca="false">IF(OR(F14&gt;='Cover &amp; Assumptions'!$C$22,Portfolio!I14=1),"Stage 3",IF(OR(F14&gt;=30,D14&gt;'Cover &amp; Assumptions'!$C$21),"Stage 2","Stage 1"))</f>
        <v>Stage 3</v>
      </c>
      <c r="H14" s="16" t="n">
        <f aca="false">IF(G14="Stage 1",12,MIN(Portfolio!H14,60))</f>
        <v>60</v>
      </c>
      <c r="I14" s="24" t="n">
        <f aca="false">1-(1-D14)^(H14/12)</f>
        <v>0.729073583381116</v>
      </c>
      <c r="J14" s="24" t="n">
        <f aca="false">IF(G14="Stage 1",D14,I14)</f>
        <v>0.729073583381116</v>
      </c>
      <c r="K14" s="25" t="n">
        <f aca="false">J14*'Cover &amp; Assumptions'!$D$11*E14*'Cover &amp; Assumptions'!$E$11*C14</f>
        <v>42657.503496226</v>
      </c>
      <c r="L14" s="25" t="n">
        <f aca="false">J14*'Cover &amp; Assumptions'!$D$12*E14*'Cover &amp; Assumptions'!$E$12*C14</f>
        <v>52826.6297166886</v>
      </c>
      <c r="M14" s="25" t="n">
        <f aca="false">J14*'Cover &amp; Assumptions'!$D$13*E14*'Cover &amp; Assumptions'!$E$13*C14</f>
        <v>91918.3357070381</v>
      </c>
      <c r="N14" s="25" t="n">
        <f aca="false">K14*'Cover &amp; Assumptions'!$C$11+L14*'Cover &amp; Assumptions'!$C$12+M14*'Cover &amp; Assumptions'!$C$13</f>
        <v>60565.7309701835</v>
      </c>
    </row>
    <row r="15" customFormat="false" ht="15" hidden="false" customHeight="false" outlineLevel="0" collapsed="false">
      <c r="A15" s="17" t="str">
        <f aca="false">Portfolio!A15</f>
        <v>UKSME-101698</v>
      </c>
      <c r="B15" s="17" t="str">
        <f aca="false">Portfolio!B15</f>
        <v>Technology</v>
      </c>
      <c r="C15" s="21" t="n">
        <f aca="false">Portfolio!D15</f>
        <v>184588</v>
      </c>
      <c r="D15" s="22" t="n">
        <f aca="false">Portfolio!G15</f>
        <v>0.128695926278337</v>
      </c>
      <c r="E15" s="23" t="n">
        <f aca="false">Portfolio!E15</f>
        <v>0.655</v>
      </c>
      <c r="F15" s="17" t="n">
        <f aca="false">Portfolio!F15</f>
        <v>0</v>
      </c>
      <c r="G15" s="16" t="str">
        <f aca="false">IF(OR(F15&gt;='Cover &amp; Assumptions'!$C$22,Portfolio!I15=1),"Stage 3",IF(OR(F15&gt;=30,D15&gt;'Cover &amp; Assumptions'!$C$21),"Stage 2","Stage 1"))</f>
        <v>Stage 1</v>
      </c>
      <c r="H15" s="16" t="n">
        <f aca="false">IF(G15="Stage 1",12,MIN(Portfolio!H15,60))</f>
        <v>12</v>
      </c>
      <c r="I15" s="24" t="n">
        <f aca="false">1-(1-D15)^(H15/12)</f>
        <v>0.128695926278337</v>
      </c>
      <c r="J15" s="24" t="n">
        <f aca="false">IF(G15="Stage 1",D15,I15)</f>
        <v>0.128695926278337</v>
      </c>
      <c r="K15" s="25" t="n">
        <f aca="false">J15*'Cover &amp; Assumptions'!$D$11*E15*'Cover &amp; Assumptions'!$E$11*C15</f>
        <v>12564.6991796705</v>
      </c>
      <c r="L15" s="25" t="n">
        <f aca="false">J15*'Cover &amp; Assumptions'!$D$12*E15*'Cover &amp; Assumptions'!$E$12*C15</f>
        <v>15559.9989841121</v>
      </c>
      <c r="M15" s="25" t="n">
        <f aca="false">J15*'Cover &amp; Assumptions'!$D$13*E15*'Cover &amp; Assumptions'!$E$13*C15</f>
        <v>27074.398232355</v>
      </c>
      <c r="N15" s="25" t="n">
        <f aca="false">K15*'Cover &amp; Assumptions'!$C$11+L15*'Cover &amp; Assumptions'!$C$12+M15*'Cover &amp; Assumptions'!$C$13</f>
        <v>17839.5388352845</v>
      </c>
    </row>
    <row r="16" customFormat="false" ht="15" hidden="false" customHeight="false" outlineLevel="0" collapsed="false">
      <c r="A16" s="17" t="str">
        <f aca="false">Portfolio!A16</f>
        <v>UKSME-103225</v>
      </c>
      <c r="B16" s="17" t="str">
        <f aca="false">Portfolio!B16</f>
        <v>Wholesale</v>
      </c>
      <c r="C16" s="21" t="n">
        <f aca="false">Portfolio!D16</f>
        <v>12475</v>
      </c>
      <c r="D16" s="22" t="n">
        <f aca="false">Portfolio!G16</f>
        <v>0.199243884664861</v>
      </c>
      <c r="E16" s="23" t="n">
        <f aca="false">Portfolio!E16</f>
        <v>0.695</v>
      </c>
      <c r="F16" s="17" t="n">
        <f aca="false">Portfolio!F16</f>
        <v>0</v>
      </c>
      <c r="G16" s="16" t="str">
        <f aca="false">IF(OR(F16&gt;='Cover &amp; Assumptions'!$C$22,Portfolio!I16=1),"Stage 3",IF(OR(F16&gt;=30,D16&gt;'Cover &amp; Assumptions'!$C$21),"Stage 2","Stage 1"))</f>
        <v>Stage 2</v>
      </c>
      <c r="H16" s="16" t="n">
        <f aca="false">IF(G16="Stage 1",12,MIN(Portfolio!H16,60))</f>
        <v>48</v>
      </c>
      <c r="I16" s="24" t="n">
        <f aca="false">1-(1-D16)^(H16/12)</f>
        <v>0.58884927904208</v>
      </c>
      <c r="J16" s="24" t="n">
        <f aca="false">IF(G16="Stage 1",D16,I16)</f>
        <v>0.58884927904208</v>
      </c>
      <c r="K16" s="25" t="n">
        <f aca="false">J16*'Cover &amp; Assumptions'!$D$11*E16*'Cover &amp; Assumptions'!$E$11*C16</f>
        <v>4122.60796077968</v>
      </c>
      <c r="L16" s="25" t="n">
        <f aca="false">J16*'Cover &amp; Assumptions'!$D$12*E16*'Cover &amp; Assumptions'!$E$12*C16</f>
        <v>5105.39685545472</v>
      </c>
      <c r="M16" s="25" t="n">
        <f aca="false">J16*'Cover &amp; Assumptions'!$D$13*E16*'Cover &amp; Assumptions'!$E$13*C16</f>
        <v>8883.39052849121</v>
      </c>
      <c r="N16" s="25" t="n">
        <f aca="false">K16*'Cover &amp; Assumptions'!$C$11+L16*'Cover &amp; Assumptions'!$C$12+M16*'Cover &amp; Assumptions'!$C$13</f>
        <v>5853.33749477883</v>
      </c>
    </row>
    <row r="17" customFormat="false" ht="15" hidden="false" customHeight="false" outlineLevel="0" collapsed="false">
      <c r="A17" s="17" t="str">
        <f aca="false">Portfolio!A17</f>
        <v>UKSME-100403</v>
      </c>
      <c r="B17" s="17" t="str">
        <f aca="false">Portfolio!B17</f>
        <v>Wholesale</v>
      </c>
      <c r="C17" s="21" t="n">
        <f aca="false">Portfolio!D17</f>
        <v>15112</v>
      </c>
      <c r="D17" s="22" t="n">
        <f aca="false">Portfolio!G17</f>
        <v>0.300626348231586</v>
      </c>
      <c r="E17" s="23" t="n">
        <f aca="false">Portfolio!E17</f>
        <v>0.751</v>
      </c>
      <c r="F17" s="17" t="n">
        <f aca="false">Portfolio!F17</f>
        <v>0</v>
      </c>
      <c r="G17" s="16" t="str">
        <f aca="false">IF(OR(F17&gt;='Cover &amp; Assumptions'!$C$22,Portfolio!I17=1),"Stage 3",IF(OR(F17&gt;=30,D17&gt;'Cover &amp; Assumptions'!$C$21),"Stage 2","Stage 1"))</f>
        <v>Stage 3</v>
      </c>
      <c r="H17" s="16" t="n">
        <f aca="false">IF(G17="Stage 1",12,MIN(Portfolio!H17,60))</f>
        <v>60</v>
      </c>
      <c r="I17" s="24" t="n">
        <f aca="false">1-(1-D17)^(H17/12)</f>
        <v>0.832680586625</v>
      </c>
      <c r="J17" s="24" t="n">
        <f aca="false">IF(G17="Stage 1",D17,I17)</f>
        <v>0.832680586625</v>
      </c>
      <c r="K17" s="25" t="n">
        <f aca="false">J17*'Cover &amp; Assumptions'!$D$11*E17*'Cover &amp; Assumptions'!$E$11*C17</f>
        <v>7631.02457955</v>
      </c>
      <c r="L17" s="25" t="n">
        <f aca="false">J17*'Cover &amp; Assumptions'!$D$12*E17*'Cover &amp; Assumptions'!$E$12*C17</f>
        <v>9450.18523783282</v>
      </c>
      <c r="M17" s="25" t="n">
        <f aca="false">J17*'Cover &amp; Assumptions'!$D$13*E17*'Cover &amp; Assumptions'!$E$13*C17</f>
        <v>16443.3223138291</v>
      </c>
      <c r="N17" s="25" t="n">
        <f aca="false">K17*'Cover &amp; Assumptions'!$C$11+L17*'Cover &amp; Assumptions'!$C$12+M17*'Cover &amp; Assumptions'!$C$13</f>
        <v>10834.6373751753</v>
      </c>
    </row>
    <row r="18" customFormat="false" ht="15" hidden="false" customHeight="false" outlineLevel="0" collapsed="false">
      <c r="A18" s="17" t="str">
        <f aca="false">Portfolio!A18</f>
        <v>UKSME-103534</v>
      </c>
      <c r="B18" s="17" t="str">
        <f aca="false">Portfolio!B18</f>
        <v>Transport</v>
      </c>
      <c r="C18" s="21" t="n">
        <f aca="false">Portfolio!D18</f>
        <v>12196</v>
      </c>
      <c r="D18" s="22" t="n">
        <f aca="false">Portfolio!G18</f>
        <v>0.200267319767812</v>
      </c>
      <c r="E18" s="23" t="n">
        <f aca="false">Portfolio!E18</f>
        <v>0.617</v>
      </c>
      <c r="F18" s="17" t="n">
        <f aca="false">Portfolio!F18</f>
        <v>0</v>
      </c>
      <c r="G18" s="16" t="str">
        <f aca="false">IF(OR(F18&gt;='Cover &amp; Assumptions'!$C$22,Portfolio!I18=1),"Stage 3",IF(OR(F18&gt;=30,D18&gt;'Cover &amp; Assumptions'!$C$21),"Stage 2","Stage 1"))</f>
        <v>Stage 2</v>
      </c>
      <c r="H18" s="16" t="n">
        <f aca="false">IF(G18="Stage 1",12,MIN(Portfolio!H18,60))</f>
        <v>48</v>
      </c>
      <c r="I18" s="24" t="n">
        <f aca="false">1-(1-D18)^(H18/12)</f>
        <v>0.590947196539747</v>
      </c>
      <c r="J18" s="24" t="n">
        <f aca="false">IF(G18="Stage 1",D18,I18)</f>
        <v>0.590947196539747</v>
      </c>
      <c r="K18" s="25" t="n">
        <f aca="false">J18*'Cover &amp; Assumptions'!$D$11*E18*'Cover &amp; Assumptions'!$E$11*C18</f>
        <v>3590.82125666343</v>
      </c>
      <c r="L18" s="25" t="n">
        <f aca="false">J18*'Cover &amp; Assumptions'!$D$12*E18*'Cover &amp; Assumptions'!$E$12*C18</f>
        <v>4446.83746955223</v>
      </c>
      <c r="M18" s="25" t="n">
        <f aca="false">J18*'Cover &amp; Assumptions'!$D$13*E18*'Cover &amp; Assumptions'!$E$13*C18</f>
        <v>7737.49719702088</v>
      </c>
      <c r="N18" s="25" t="n">
        <f aca="false">K18*'Cover &amp; Assumptions'!$C$11+L18*'Cover &amp; Assumptions'!$C$12+M18*'Cover &amp; Assumptions'!$C$13</f>
        <v>5098.29915884163</v>
      </c>
    </row>
    <row r="19" customFormat="false" ht="15" hidden="false" customHeight="false" outlineLevel="0" collapsed="false">
      <c r="A19" s="17" t="str">
        <f aca="false">Portfolio!A19</f>
        <v>UKSME-106046</v>
      </c>
      <c r="B19" s="17" t="str">
        <f aca="false">Portfolio!B19</f>
        <v>Retail</v>
      </c>
      <c r="C19" s="21" t="n">
        <f aca="false">Portfolio!D19</f>
        <v>118661</v>
      </c>
      <c r="D19" s="22" t="n">
        <f aca="false">Portfolio!G19</f>
        <v>0.0940277183323296</v>
      </c>
      <c r="E19" s="23" t="n">
        <f aca="false">Portfolio!E19</f>
        <v>0.56</v>
      </c>
      <c r="F19" s="17" t="n">
        <f aca="false">Portfolio!F19</f>
        <v>0</v>
      </c>
      <c r="G19" s="16" t="str">
        <f aca="false">IF(OR(F19&gt;='Cover &amp; Assumptions'!$C$22,Portfolio!I19=1),"Stage 3",IF(OR(F19&gt;=30,D19&gt;'Cover &amp; Assumptions'!$C$21),"Stage 2","Stage 1"))</f>
        <v>Stage 1</v>
      </c>
      <c r="H19" s="16" t="n">
        <f aca="false">IF(G19="Stage 1",12,MIN(Portfolio!H19,60))</f>
        <v>12</v>
      </c>
      <c r="I19" s="24" t="n">
        <f aca="false">1-(1-D19)^(H19/12)</f>
        <v>0.0940277183323296</v>
      </c>
      <c r="J19" s="24" t="n">
        <f aca="false">IF(G19="Stage 1",D19,I19)</f>
        <v>0.0940277183323296</v>
      </c>
      <c r="K19" s="25" t="n">
        <f aca="false">J19*'Cover &amp; Assumptions'!$D$11*E19*'Cover &amp; Assumptions'!$E$11*C19</f>
        <v>5045.38671905173</v>
      </c>
      <c r="L19" s="25" t="n">
        <f aca="false">J19*'Cover &amp; Assumptions'!$D$12*E19*'Cover &amp; Assumptions'!$E$12*C19</f>
        <v>6248.15692761824</v>
      </c>
      <c r="M19" s="25" t="n">
        <f aca="false">J19*'Cover &amp; Assumptions'!$D$13*E19*'Cover &amp; Assumptions'!$E$13*C19</f>
        <v>10871.7930540557</v>
      </c>
      <c r="N19" s="25" t="n">
        <f aca="false">K19*'Cover &amp; Assumptions'!$C$11+L19*'Cover &amp; Assumptions'!$C$12+M19*'Cover &amp; Assumptions'!$C$13</f>
        <v>7163.51191751431</v>
      </c>
    </row>
    <row r="20" customFormat="false" ht="15" hidden="false" customHeight="false" outlineLevel="0" collapsed="false">
      <c r="A20" s="17" t="str">
        <f aca="false">Portfolio!A20</f>
        <v>UKSME-103047</v>
      </c>
      <c r="B20" s="17" t="str">
        <f aca="false">Portfolio!B20</f>
        <v>Hospitality</v>
      </c>
      <c r="C20" s="21" t="n">
        <f aca="false">Portfolio!D20</f>
        <v>154580</v>
      </c>
      <c r="D20" s="22" t="n">
        <f aca="false">Portfolio!G20</f>
        <v>0.245333905956436</v>
      </c>
      <c r="E20" s="23" t="n">
        <f aca="false">Portfolio!E20</f>
        <v>0.682</v>
      </c>
      <c r="F20" s="17" t="n">
        <f aca="false">Portfolio!F20</f>
        <v>0</v>
      </c>
      <c r="G20" s="16" t="str">
        <f aca="false">IF(OR(F20&gt;='Cover &amp; Assumptions'!$C$22,Portfolio!I20=1),"Stage 3",IF(OR(F20&gt;=30,D20&gt;'Cover &amp; Assumptions'!$C$21),"Stage 2","Stage 1"))</f>
        <v>Stage 2</v>
      </c>
      <c r="H20" s="16" t="n">
        <f aca="false">IF(G20="Stage 1",12,MIN(Portfolio!H20,60))</f>
        <v>60</v>
      </c>
      <c r="I20" s="24" t="n">
        <f aca="false">1-(1-D20)^(H20/12)</f>
        <v>0.755220980217183</v>
      </c>
      <c r="J20" s="24" t="n">
        <f aca="false">IF(G20="Stage 1",D20,I20)</f>
        <v>0.755220980217183</v>
      </c>
      <c r="K20" s="25" t="n">
        <f aca="false">J20*'Cover &amp; Assumptions'!$D$11*E20*'Cover &amp; Assumptions'!$E$11*C20</f>
        <v>64291.6030893569</v>
      </c>
      <c r="L20" s="25" t="n">
        <f aca="false">J20*'Cover &amp; Assumptions'!$D$12*E20*'Cover &amp; Assumptions'!$E$12*C20</f>
        <v>79618.0843211851</v>
      </c>
      <c r="M20" s="25" t="n">
        <f aca="false">J20*'Cover &amp; Assumptions'!$D$13*E20*'Cover &amp; Assumptions'!$E$13*C20</f>
        <v>138535.466718862</v>
      </c>
      <c r="N20" s="25" t="n">
        <f aca="false">K20*'Cover &amp; Assumptions'!$C$11+L20*'Cover &amp; Assumptions'!$C$12+M20*'Cover &amp; Assumptions'!$C$13</f>
        <v>91282.1336742387</v>
      </c>
    </row>
    <row r="21" customFormat="false" ht="15" hidden="false" customHeight="false" outlineLevel="0" collapsed="false">
      <c r="A21" s="17" t="str">
        <f aca="false">Portfolio!A21</f>
        <v>UKSME-108862</v>
      </c>
      <c r="B21" s="17" t="str">
        <f aca="false">Portfolio!B21</f>
        <v>Professional Services</v>
      </c>
      <c r="C21" s="21" t="n">
        <f aca="false">Portfolio!D21</f>
        <v>94504</v>
      </c>
      <c r="D21" s="22" t="n">
        <f aca="false">Portfolio!G21</f>
        <v>0.0517675664579633</v>
      </c>
      <c r="E21" s="23" t="n">
        <f aca="false">Portfolio!E21</f>
        <v>0.787</v>
      </c>
      <c r="F21" s="17" t="n">
        <f aca="false">Portfolio!F21</f>
        <v>0</v>
      </c>
      <c r="G21" s="16" t="str">
        <f aca="false">IF(OR(F21&gt;='Cover &amp; Assumptions'!$C$22,Portfolio!I21=1),"Stage 3",IF(OR(F21&gt;=30,D21&gt;'Cover &amp; Assumptions'!$C$21),"Stage 2","Stage 1"))</f>
        <v>Stage 1</v>
      </c>
      <c r="H21" s="16" t="n">
        <f aca="false">IF(G21="Stage 1",12,MIN(Portfolio!H21,60))</f>
        <v>12</v>
      </c>
      <c r="I21" s="24" t="n">
        <f aca="false">1-(1-D21)^(H21/12)</f>
        <v>0.0517675664579633</v>
      </c>
      <c r="J21" s="24" t="n">
        <f aca="false">IF(G21="Stage 1",D21,I21)</f>
        <v>0.0517675664579633</v>
      </c>
      <c r="K21" s="25" t="n">
        <f aca="false">J21*'Cover &amp; Assumptions'!$D$11*E21*'Cover &amp; Assumptions'!$E$11*C21</f>
        <v>3109.03208550056</v>
      </c>
      <c r="L21" s="25" t="n">
        <f aca="false">J21*'Cover &amp; Assumptions'!$D$12*E21*'Cover &amp; Assumptions'!$E$12*C21</f>
        <v>3850.19453312763</v>
      </c>
      <c r="M21" s="25" t="n">
        <f aca="false">J21*'Cover &amp; Assumptions'!$D$13*E21*'Cover &amp; Assumptions'!$E$13*C21</f>
        <v>6699.33848764207</v>
      </c>
      <c r="N21" s="25" t="n">
        <f aca="false">K21*'Cover &amp; Assumptions'!$C$11+L21*'Cover &amp; Assumptions'!$C$12+M21*'Cover &amp; Assumptions'!$C$13</f>
        <v>4414.24803223083</v>
      </c>
    </row>
    <row r="22" customFormat="false" ht="15" hidden="false" customHeight="false" outlineLevel="0" collapsed="false">
      <c r="A22" s="17" t="str">
        <f aca="false">Portfolio!A22</f>
        <v>UKSME-107146</v>
      </c>
      <c r="B22" s="17" t="str">
        <f aca="false">Portfolio!B22</f>
        <v>Technology</v>
      </c>
      <c r="C22" s="21" t="n">
        <f aca="false">Portfolio!D22</f>
        <v>125463</v>
      </c>
      <c r="D22" s="22" t="n">
        <f aca="false">Portfolio!G22</f>
        <v>0.0732986624461325</v>
      </c>
      <c r="E22" s="23" t="n">
        <f aca="false">Portfolio!E22</f>
        <v>0.095</v>
      </c>
      <c r="F22" s="17" t="n">
        <f aca="false">Portfolio!F22</f>
        <v>0</v>
      </c>
      <c r="G22" s="16" t="str">
        <f aca="false">IF(OR(F22&gt;='Cover &amp; Assumptions'!$C$22,Portfolio!I22=1),"Stage 3",IF(OR(F22&gt;=30,D22&gt;'Cover &amp; Assumptions'!$C$21),"Stage 2","Stage 1"))</f>
        <v>Stage 1</v>
      </c>
      <c r="H22" s="16" t="n">
        <f aca="false">IF(G22="Stage 1",12,MIN(Portfolio!H22,60))</f>
        <v>12</v>
      </c>
      <c r="I22" s="24" t="n">
        <f aca="false">1-(1-D22)^(H22/12)</f>
        <v>0.0732986624461325</v>
      </c>
      <c r="J22" s="24" t="n">
        <f aca="false">IF(G22="Stage 1",D22,I22)</f>
        <v>0.0732986624461325</v>
      </c>
      <c r="K22" s="25" t="n">
        <f aca="false">J22*'Cover &amp; Assumptions'!$D$11*E22*'Cover &amp; Assumptions'!$E$11*C22</f>
        <v>705.46886900903</v>
      </c>
      <c r="L22" s="25" t="n">
        <f aca="false">J22*'Cover &amp; Assumptions'!$D$12*E22*'Cover &amp; Assumptions'!$E$12*C22</f>
        <v>873.645658215517</v>
      </c>
      <c r="M22" s="25" t="n">
        <f aca="false">J22*'Cover &amp; Assumptions'!$D$13*E22*'Cover &amp; Assumptions'!$E$13*C22</f>
        <v>1520.143445295</v>
      </c>
      <c r="N22" s="25" t="n">
        <f aca="false">K22*'Cover &amp; Assumptions'!$C$11+L22*'Cover &amp; Assumptions'!$C$12+M22*'Cover &amp; Assumptions'!$C$13</f>
        <v>1001.63474714409</v>
      </c>
    </row>
    <row r="23" customFormat="false" ht="15" hidden="false" customHeight="false" outlineLevel="0" collapsed="false">
      <c r="A23" s="17" t="str">
        <f aca="false">Portfolio!A23</f>
        <v>UKSME-100507</v>
      </c>
      <c r="B23" s="17" t="str">
        <f aca="false">Portfolio!B23</f>
        <v>Healthcare</v>
      </c>
      <c r="C23" s="21" t="n">
        <f aca="false">Portfolio!D23</f>
        <v>48838</v>
      </c>
      <c r="D23" s="22" t="n">
        <f aca="false">Portfolio!G23</f>
        <v>0.46244686110161</v>
      </c>
      <c r="E23" s="23" t="n">
        <f aca="false">Portfolio!E23</f>
        <v>0.344</v>
      </c>
      <c r="F23" s="17" t="n">
        <f aca="false">Portfolio!F23</f>
        <v>0</v>
      </c>
      <c r="G23" s="16" t="str">
        <f aca="false">IF(OR(F23&gt;='Cover &amp; Assumptions'!$C$22,Portfolio!I23=1),"Stage 3",IF(OR(F23&gt;=30,D23&gt;'Cover &amp; Assumptions'!$C$21),"Stage 2","Stage 1"))</f>
        <v>Stage 2</v>
      </c>
      <c r="H23" s="16" t="n">
        <f aca="false">IF(G23="Stage 1",12,MIN(Portfolio!H23,60))</f>
        <v>36</v>
      </c>
      <c r="I23" s="24" t="n">
        <f aca="false">1-(1-D23)^(H23/12)</f>
        <v>0.844666829591977</v>
      </c>
      <c r="J23" s="24" t="n">
        <f aca="false">IF(G23="Stage 1",D23,I23)</f>
        <v>0.844666829591977</v>
      </c>
      <c r="K23" s="25" t="n">
        <f aca="false">J23*'Cover &amp; Assumptions'!$D$11*E23*'Cover &amp; Assumptions'!$E$11*C23</f>
        <v>11458.9357328672</v>
      </c>
      <c r="L23" s="25" t="n">
        <f aca="false">J23*'Cover &amp; Assumptions'!$D$12*E23*'Cover &amp; Assumptions'!$E$12*C23</f>
        <v>14190.6324865229</v>
      </c>
      <c r="M23" s="25" t="n">
        <f aca="false">J23*'Cover &amp; Assumptions'!$D$13*E23*'Cover &amp; Assumptions'!$E$13*C23</f>
        <v>24691.7005265498</v>
      </c>
      <c r="N23" s="25" t="n">
        <f aca="false">K23*'Cover &amp; Assumptions'!$C$11+L23*'Cover &amp; Assumptions'!$C$12+M23*'Cover &amp; Assumptions'!$C$13</f>
        <v>16269.5601457984</v>
      </c>
    </row>
    <row r="24" customFormat="false" ht="15" hidden="false" customHeight="false" outlineLevel="0" collapsed="false">
      <c r="A24" s="17" t="str">
        <f aca="false">Portfolio!A24</f>
        <v>UKSME-104476</v>
      </c>
      <c r="B24" s="17" t="str">
        <f aca="false">Portfolio!B24</f>
        <v>Real Estate</v>
      </c>
      <c r="C24" s="21" t="n">
        <f aca="false">Portfolio!D24</f>
        <v>25515</v>
      </c>
      <c r="D24" s="22" t="n">
        <f aca="false">Portfolio!G24</f>
        <v>0.202734155443586</v>
      </c>
      <c r="E24" s="23" t="n">
        <f aca="false">Portfolio!E24</f>
        <v>0.322</v>
      </c>
      <c r="F24" s="17" t="n">
        <f aca="false">Portfolio!F24</f>
        <v>0</v>
      </c>
      <c r="G24" s="16" t="str">
        <f aca="false">IF(OR(F24&gt;='Cover &amp; Assumptions'!$C$22,Portfolio!I24=1),"Stage 3",IF(OR(F24&gt;=30,D24&gt;'Cover &amp; Assumptions'!$C$21),"Stage 2","Stage 1"))</f>
        <v>Stage 3</v>
      </c>
      <c r="H24" s="16" t="n">
        <f aca="false">IF(G24="Stage 1",12,MIN(Portfolio!H24,60))</f>
        <v>36</v>
      </c>
      <c r="I24" s="24" t="n">
        <f aca="false">1-(1-D24)^(H24/12)</f>
        <v>0.493231657436778</v>
      </c>
      <c r="J24" s="24" t="n">
        <f aca="false">IF(G24="Stage 1",D24,I24)</f>
        <v>0.493231657436778</v>
      </c>
      <c r="K24" s="25" t="n">
        <f aca="false">J24*'Cover &amp; Assumptions'!$D$11*E24*'Cover &amp; Assumptions'!$E$11*C24</f>
        <v>3272.23826435593</v>
      </c>
      <c r="L24" s="25" t="n">
        <f aca="false">J24*'Cover &amp; Assumptions'!$D$12*E24*'Cover &amp; Assumptions'!$E$12*C24</f>
        <v>4052.3074481188</v>
      </c>
      <c r="M24" s="25" t="n">
        <f aca="false">J24*'Cover &amp; Assumptions'!$D$13*E24*'Cover &amp; Assumptions'!$E$13*C24</f>
        <v>7051.01495972672</v>
      </c>
      <c r="N24" s="25" t="n">
        <f aca="false">K24*'Cover &amp; Assumptions'!$C$11+L24*'Cover &amp; Assumptions'!$C$12+M24*'Cover &amp; Assumptions'!$C$13</f>
        <v>4645.97048926821</v>
      </c>
    </row>
    <row r="25" customFormat="false" ht="15" hidden="false" customHeight="false" outlineLevel="0" collapsed="false">
      <c r="A25" s="17" t="str">
        <f aca="false">Portfolio!A25</f>
        <v>UKSME-101677</v>
      </c>
      <c r="B25" s="17" t="str">
        <f aca="false">Portfolio!B25</f>
        <v>Manufacturing</v>
      </c>
      <c r="C25" s="21" t="n">
        <f aca="false">Portfolio!D25</f>
        <v>40083</v>
      </c>
      <c r="D25" s="22" t="n">
        <f aca="false">Portfolio!G25</f>
        <v>0.167011257482892</v>
      </c>
      <c r="E25" s="23" t="n">
        <f aca="false">Portfolio!E25</f>
        <v>0.552</v>
      </c>
      <c r="F25" s="17" t="n">
        <f aca="false">Portfolio!F25</f>
        <v>0</v>
      </c>
      <c r="G25" s="16" t="str">
        <f aca="false">IF(OR(F25&gt;='Cover &amp; Assumptions'!$C$22,Portfolio!I25=1),"Stage 3",IF(OR(F25&gt;=30,D25&gt;'Cover &amp; Assumptions'!$C$21),"Stage 2","Stage 1"))</f>
        <v>Stage 2</v>
      </c>
      <c r="H25" s="16" t="n">
        <f aca="false">IF(G25="Stage 1",12,MIN(Portfolio!H25,60))</f>
        <v>24</v>
      </c>
      <c r="I25" s="24" t="n">
        <f aca="false">1-(1-D25)^(H25/12)</f>
        <v>0.306129754839768</v>
      </c>
      <c r="J25" s="24" t="n">
        <f aca="false">IF(G25="Stage 1",D25,I25)</f>
        <v>0.306129754839768</v>
      </c>
      <c r="K25" s="25" t="n">
        <f aca="false">J25*'Cover &amp; Assumptions'!$D$11*E25*'Cover &amp; Assumptions'!$E$11*C25</f>
        <v>5469.49678187567</v>
      </c>
      <c r="L25" s="25" t="n">
        <f aca="false">J25*'Cover &amp; Assumptions'!$D$12*E25*'Cover &amp; Assumptions'!$E$12*C25</f>
        <v>6773.37062770981</v>
      </c>
      <c r="M25" s="25" t="n">
        <f aca="false">J25*'Cover &amp; Assumptions'!$D$13*E25*'Cover &amp; Assumptions'!$E$13*C25</f>
        <v>11785.6648922151</v>
      </c>
      <c r="N25" s="25" t="n">
        <f aca="false">K25*'Cover &amp; Assumptions'!$C$11+L25*'Cover &amp; Assumptions'!$C$12+M25*'Cover &amp; Assumptions'!$C$13</f>
        <v>7765.6694246693</v>
      </c>
    </row>
    <row r="26" customFormat="false" ht="15" hidden="false" customHeight="false" outlineLevel="0" collapsed="false">
      <c r="A26" s="17" t="str">
        <f aca="false">Portfolio!A26</f>
        <v>UKSME-102020</v>
      </c>
      <c r="B26" s="17" t="str">
        <f aca="false">Portfolio!B26</f>
        <v>Construction</v>
      </c>
      <c r="C26" s="21" t="n">
        <f aca="false">Portfolio!D26</f>
        <v>37527</v>
      </c>
      <c r="D26" s="22" t="n">
        <f aca="false">Portfolio!G26</f>
        <v>0.160170738325399</v>
      </c>
      <c r="E26" s="23" t="n">
        <f aca="false">Portfolio!E26</f>
        <v>0.464</v>
      </c>
      <c r="F26" s="17" t="n">
        <f aca="false">Portfolio!F26</f>
        <v>0</v>
      </c>
      <c r="G26" s="16" t="str">
        <f aca="false">IF(OR(F26&gt;='Cover &amp; Assumptions'!$C$22,Portfolio!I26=1),"Stage 3",IF(OR(F26&gt;=30,D26&gt;'Cover &amp; Assumptions'!$C$21),"Stage 2","Stage 1"))</f>
        <v>Stage 2</v>
      </c>
      <c r="H26" s="16" t="n">
        <f aca="false">IF(G26="Stage 1",12,MIN(Portfolio!H26,60))</f>
        <v>48</v>
      </c>
      <c r="I26" s="24" t="n">
        <f aca="false">1-(1-D26)^(H26/12)</f>
        <v>0.502533305754281</v>
      </c>
      <c r="J26" s="24" t="n">
        <f aca="false">IF(G26="Stage 1",D26,I26)</f>
        <v>0.502533305754281</v>
      </c>
      <c r="K26" s="25" t="n">
        <f aca="false">J26*'Cover &amp; Assumptions'!$D$11*E26*'Cover &amp; Assumptions'!$E$11*C26</f>
        <v>7065.92802033352</v>
      </c>
      <c r="L26" s="25" t="n">
        <f aca="false">J26*'Cover &amp; Assumptions'!$D$12*E26*'Cover &amp; Assumptions'!$E$12*C26</f>
        <v>8750.37525737898</v>
      </c>
      <c r="M26" s="25" t="n">
        <f aca="false">J26*'Cover &amp; Assumptions'!$D$13*E26*'Cover &amp; Assumptions'!$E$13*C26</f>
        <v>15225.6529478394</v>
      </c>
      <c r="N26" s="25" t="n">
        <f aca="false">K26*'Cover &amp; Assumptions'!$C$11+L26*'Cover &amp; Assumptions'!$C$12+M26*'Cover &amp; Assumptions'!$C$13</f>
        <v>10032.305232585</v>
      </c>
    </row>
    <row r="27" customFormat="false" ht="15" hidden="false" customHeight="false" outlineLevel="0" collapsed="false">
      <c r="A27" s="17" t="str">
        <f aca="false">Portfolio!A27</f>
        <v>UKSME-101682</v>
      </c>
      <c r="B27" s="17" t="str">
        <f aca="false">Portfolio!B27</f>
        <v>Professional Services</v>
      </c>
      <c r="C27" s="21" t="n">
        <f aca="false">Portfolio!D27</f>
        <v>38008</v>
      </c>
      <c r="D27" s="22" t="n">
        <f aca="false">Portfolio!G27</f>
        <v>0.21907864805696</v>
      </c>
      <c r="E27" s="23" t="n">
        <f aca="false">Portfolio!E27</f>
        <v>0.815</v>
      </c>
      <c r="F27" s="17" t="n">
        <f aca="false">Portfolio!F27</f>
        <v>0</v>
      </c>
      <c r="G27" s="16" t="str">
        <f aca="false">IF(OR(F27&gt;='Cover &amp; Assumptions'!$C$22,Portfolio!I27=1),"Stage 3",IF(OR(F27&gt;=30,D27&gt;'Cover &amp; Assumptions'!$C$21),"Stage 2","Stage 1"))</f>
        <v>Stage 2</v>
      </c>
      <c r="H27" s="16" t="n">
        <f aca="false">IF(G27="Stage 1",12,MIN(Portfolio!H27,60))</f>
        <v>60</v>
      </c>
      <c r="I27" s="24" t="n">
        <f aca="false">1-(1-D27)^(H27/12)</f>
        <v>0.70957333532873</v>
      </c>
      <c r="J27" s="24" t="n">
        <f aca="false">IF(G27="Stage 1",D27,I27)</f>
        <v>0.70957333532873</v>
      </c>
      <c r="K27" s="25" t="n">
        <f aca="false">J27*'Cover &amp; Assumptions'!$D$11*E27*'Cover &amp; Assumptions'!$E$11*C27</f>
        <v>17748.9409352213</v>
      </c>
      <c r="L27" s="25" t="n">
        <f aca="false">J27*'Cover &amp; Assumptions'!$D$12*E27*'Cover &amp; Assumptions'!$E$12*C27</f>
        <v>21980.1126132771</v>
      </c>
      <c r="M27" s="25" t="n">
        <f aca="false">J27*'Cover &amp; Assumptions'!$D$13*E27*'Cover &amp; Assumptions'!$E$13*C27</f>
        <v>38245.3959471021</v>
      </c>
      <c r="N27" s="25" t="n">
        <f aca="false">K27*'Cover &amp; Assumptions'!$C$11+L27*'Cover &amp; Assumptions'!$C$12+M27*'Cover &amp; Assumptions'!$C$13</f>
        <v>25200.1991111222</v>
      </c>
    </row>
    <row r="28" customFormat="false" ht="15" hidden="false" customHeight="false" outlineLevel="0" collapsed="false">
      <c r="A28" s="17" t="str">
        <f aca="false">Portfolio!A28</f>
        <v>UKSME-101649</v>
      </c>
      <c r="B28" s="17" t="str">
        <f aca="false">Portfolio!B28</f>
        <v>Technology</v>
      </c>
      <c r="C28" s="21" t="n">
        <f aca="false">Portfolio!D28</f>
        <v>81713</v>
      </c>
      <c r="D28" s="22" t="n">
        <f aca="false">Portfolio!G28</f>
        <v>0.182758854079114</v>
      </c>
      <c r="E28" s="23" t="n">
        <f aca="false">Portfolio!E28</f>
        <v>0.821</v>
      </c>
      <c r="F28" s="17" t="n">
        <f aca="false">Portfolio!F28</f>
        <v>0</v>
      </c>
      <c r="G28" s="16" t="str">
        <f aca="false">IF(OR(F28&gt;='Cover &amp; Assumptions'!$C$22,Portfolio!I28=1),"Stage 3",IF(OR(F28&gt;=30,D28&gt;'Cover &amp; Assumptions'!$C$21),"Stage 2","Stage 1"))</f>
        <v>Stage 3</v>
      </c>
      <c r="H28" s="16" t="n">
        <f aca="false">IF(G28="Stage 1",12,MIN(Portfolio!H28,60))</f>
        <v>60</v>
      </c>
      <c r="I28" s="24" t="n">
        <f aca="false">1-(1-D28)^(H28/12)</f>
        <v>0.635455021425722</v>
      </c>
      <c r="J28" s="24" t="n">
        <f aca="false">IF(G28="Stage 1",D28,I28)</f>
        <v>0.635455021425722</v>
      </c>
      <c r="K28" s="25" t="n">
        <f aca="false">J28*'Cover &amp; Assumptions'!$D$11*E28*'Cover &amp; Assumptions'!$E$11*C28</f>
        <v>34424.0258681118</v>
      </c>
      <c r="L28" s="25" t="n">
        <f aca="false">J28*'Cover &amp; Assumptions'!$D$12*E28*'Cover &amp; Assumptions'!$E$12*C28</f>
        <v>42630.372592089</v>
      </c>
      <c r="M28" s="25" t="n">
        <f aca="false">J28*'Cover &amp; Assumptions'!$D$13*E28*'Cover &amp; Assumptions'!$E$13*C28</f>
        <v>74176.8483102348</v>
      </c>
      <c r="N28" s="25" t="n">
        <f aca="false">K28*'Cover &amp; Assumptions'!$C$11+L28*'Cover &amp; Assumptions'!$C$12+M28*'Cover &amp; Assumptions'!$C$13</f>
        <v>48875.72217683</v>
      </c>
    </row>
    <row r="29" customFormat="false" ht="15" hidden="false" customHeight="false" outlineLevel="0" collapsed="false">
      <c r="A29" s="17" t="str">
        <f aca="false">Portfolio!A29</f>
        <v>UKSME-102421</v>
      </c>
      <c r="B29" s="17" t="str">
        <f aca="false">Portfolio!B29</f>
        <v>Manufacturing</v>
      </c>
      <c r="C29" s="21" t="n">
        <f aca="false">Portfolio!D29</f>
        <v>327772</v>
      </c>
      <c r="D29" s="22" t="n">
        <f aca="false">Portfolio!G29</f>
        <v>0.14171605955514</v>
      </c>
      <c r="E29" s="23" t="n">
        <f aca="false">Portfolio!E29</f>
        <v>0.592</v>
      </c>
      <c r="F29" s="17" t="n">
        <f aca="false">Portfolio!F29</f>
        <v>0</v>
      </c>
      <c r="G29" s="16" t="str">
        <f aca="false">IF(OR(F29&gt;='Cover &amp; Assumptions'!$C$22,Portfolio!I29=1),"Stage 3",IF(OR(F29&gt;=30,D29&gt;'Cover &amp; Assumptions'!$C$21),"Stage 2","Stage 1"))</f>
        <v>Stage 1</v>
      </c>
      <c r="H29" s="16" t="n">
        <f aca="false">IF(G29="Stage 1",12,MIN(Portfolio!H29,60))</f>
        <v>12</v>
      </c>
      <c r="I29" s="24" t="n">
        <f aca="false">1-(1-D29)^(H29/12)</f>
        <v>0.14171605955514</v>
      </c>
      <c r="J29" s="24" t="n">
        <f aca="false">IF(G29="Stage 1",D29,I29)</f>
        <v>0.14171605955514</v>
      </c>
      <c r="K29" s="25" t="n">
        <f aca="false">J29*'Cover &amp; Assumptions'!$D$11*E29*'Cover &amp; Assumptions'!$E$11*C29</f>
        <v>22205.2239205095</v>
      </c>
      <c r="L29" s="25" t="n">
        <f aca="false">J29*'Cover &amp; Assumptions'!$D$12*E29*'Cover &amp; Assumptions'!$E$12*C29</f>
        <v>27498.7293133244</v>
      </c>
      <c r="M29" s="25" t="n">
        <f aca="false">J29*'Cover &amp; Assumptions'!$D$13*E29*'Cover &amp; Assumptions'!$E$13*C29</f>
        <v>47847.7890051845</v>
      </c>
      <c r="N29" s="25" t="n">
        <f aca="false">K29*'Cover &amp; Assumptions'!$C$11+L29*'Cover &amp; Assumptions'!$C$12+M29*'Cover &amp; Assumptions'!$C$13</f>
        <v>31527.2931577264</v>
      </c>
    </row>
    <row r="30" customFormat="false" ht="15" hidden="false" customHeight="false" outlineLevel="0" collapsed="false">
      <c r="A30" s="17" t="str">
        <f aca="false">Portfolio!A30</f>
        <v>UKSME-107537</v>
      </c>
      <c r="B30" s="17" t="str">
        <f aca="false">Portfolio!B30</f>
        <v>Transport</v>
      </c>
      <c r="C30" s="21" t="n">
        <f aca="false">Portfolio!D30</f>
        <v>13587</v>
      </c>
      <c r="D30" s="22" t="n">
        <f aca="false">Portfolio!G30</f>
        <v>0.131610068168167</v>
      </c>
      <c r="E30" s="23" t="n">
        <f aca="false">Portfolio!E30</f>
        <v>0.174</v>
      </c>
      <c r="F30" s="17" t="n">
        <f aca="false">Portfolio!F30</f>
        <v>0</v>
      </c>
      <c r="G30" s="16" t="str">
        <f aca="false">IF(OR(F30&gt;='Cover &amp; Assumptions'!$C$22,Portfolio!I30=1),"Stage 3",IF(OR(F30&gt;=30,D30&gt;'Cover &amp; Assumptions'!$C$21),"Stage 2","Stage 1"))</f>
        <v>Stage 1</v>
      </c>
      <c r="H30" s="16" t="n">
        <f aca="false">IF(G30="Stage 1",12,MIN(Portfolio!H30,60))</f>
        <v>12</v>
      </c>
      <c r="I30" s="24" t="n">
        <f aca="false">1-(1-D30)^(H30/12)</f>
        <v>0.131610068168167</v>
      </c>
      <c r="J30" s="24" t="n">
        <f aca="false">IF(G30="Stage 1",D30,I30)</f>
        <v>0.131610068168167</v>
      </c>
      <c r="K30" s="25" t="n">
        <f aca="false">J30*'Cover &amp; Assumptions'!$D$11*E30*'Cover &amp; Assumptions'!$E$11*C30</f>
        <v>251.249073396206</v>
      </c>
      <c r="L30" s="25" t="n">
        <f aca="false">J30*'Cover &amp; Assumptions'!$D$12*E30*'Cover &amp; Assumptions'!$E$12*C30</f>
        <v>311.144363338955</v>
      </c>
      <c r="M30" s="25" t="n">
        <f aca="false">J30*'Cover &amp; Assumptions'!$D$13*E30*'Cover &amp; Assumptions'!$E$13*C30</f>
        <v>541.391192209781</v>
      </c>
      <c r="N30" s="25" t="n">
        <f aca="false">K30*'Cover &amp; Assumptions'!$C$11+L30*'Cover &amp; Assumptions'!$C$12+M30*'Cover &amp; Assumptions'!$C$13</f>
        <v>356.727012568112</v>
      </c>
    </row>
    <row r="31" customFormat="false" ht="15" hidden="false" customHeight="false" outlineLevel="0" collapsed="false">
      <c r="A31" s="17" t="str">
        <f aca="false">Portfolio!A31</f>
        <v>UKSME-104793</v>
      </c>
      <c r="B31" s="17" t="str">
        <f aca="false">Portfolio!B31</f>
        <v>Construction</v>
      </c>
      <c r="C31" s="21" t="n">
        <f aca="false">Portfolio!D31</f>
        <v>137016</v>
      </c>
      <c r="D31" s="22" t="n">
        <f aca="false">Portfolio!G31</f>
        <v>0.222583149229266</v>
      </c>
      <c r="E31" s="23" t="n">
        <f aca="false">Portfolio!E31</f>
        <v>0.833</v>
      </c>
      <c r="F31" s="17" t="n">
        <f aca="false">Portfolio!F31</f>
        <v>0</v>
      </c>
      <c r="G31" s="16" t="str">
        <f aca="false">IF(OR(F31&gt;='Cover &amp; Assumptions'!$C$22,Portfolio!I31=1),"Stage 3",IF(OR(F31&gt;=30,D31&gt;'Cover &amp; Assumptions'!$C$21),"Stage 2","Stage 1"))</f>
        <v>Stage 2</v>
      </c>
      <c r="H31" s="16" t="n">
        <f aca="false">IF(G31="Stage 1",12,MIN(Portfolio!H31,60))</f>
        <v>60</v>
      </c>
      <c r="I31" s="24" t="n">
        <f aca="false">1-(1-D31)^(H31/12)</f>
        <v>0.716031773320873</v>
      </c>
      <c r="J31" s="24" t="n">
        <f aca="false">IF(G31="Stage 1",D31,I31)</f>
        <v>0.716031773320873</v>
      </c>
      <c r="K31" s="25" t="n">
        <f aca="false">J31*'Cover &amp; Assumptions'!$D$11*E31*'Cover &amp; Assumptions'!$E$11*C31</f>
        <v>65991.9727592606</v>
      </c>
      <c r="L31" s="25" t="n">
        <f aca="false">J31*'Cover &amp; Assumptions'!$D$12*E31*'Cover &amp; Assumptions'!$E$12*C31</f>
        <v>81723.8052746261</v>
      </c>
      <c r="M31" s="25" t="n">
        <f aca="false">J31*'Cover &amp; Assumptions'!$D$13*E31*'Cover &amp; Assumptions'!$E$13*C31</f>
        <v>142199.421177849</v>
      </c>
      <c r="N31" s="25" t="n">
        <f aca="false">K31*'Cover &amp; Assumptions'!$C$11+L31*'Cover &amp; Assumptions'!$C$12+M31*'Cover &amp; Assumptions'!$C$13</f>
        <v>93696.3427473588</v>
      </c>
    </row>
    <row r="32" customFormat="false" ht="15" hidden="false" customHeight="false" outlineLevel="0" collapsed="false">
      <c r="A32" s="17" t="str">
        <f aca="false">Portfolio!A32</f>
        <v>UKSME-109636</v>
      </c>
      <c r="B32" s="17" t="str">
        <f aca="false">Portfolio!B32</f>
        <v>Professional Services</v>
      </c>
      <c r="C32" s="21" t="n">
        <f aca="false">Portfolio!D32</f>
        <v>16696</v>
      </c>
      <c r="D32" s="22" t="n">
        <f aca="false">Portfolio!G32</f>
        <v>0.237112616216345</v>
      </c>
      <c r="E32" s="23" t="n">
        <f aca="false">Portfolio!E32</f>
        <v>0.214</v>
      </c>
      <c r="F32" s="17" t="n">
        <f aca="false">Portfolio!F32</f>
        <v>15</v>
      </c>
      <c r="G32" s="16" t="str">
        <f aca="false">IF(OR(F32&gt;='Cover &amp; Assumptions'!$C$22,Portfolio!I32=1),"Stage 3",IF(OR(F32&gt;=30,D32&gt;'Cover &amp; Assumptions'!$C$21),"Stage 2","Stage 1"))</f>
        <v>Stage 2</v>
      </c>
      <c r="H32" s="16" t="n">
        <f aca="false">IF(G32="Stage 1",12,MIN(Portfolio!H32,60))</f>
        <v>60</v>
      </c>
      <c r="I32" s="24" t="n">
        <f aca="false">1-(1-D32)^(H32/12)</f>
        <v>0.741594255433103</v>
      </c>
      <c r="J32" s="24" t="n">
        <f aca="false">IF(G32="Stage 1",D32,I32)</f>
        <v>0.741594255433103</v>
      </c>
      <c r="K32" s="25" t="n">
        <f aca="false">J32*'Cover &amp; Assumptions'!$D$11*E32*'Cover &amp; Assumptions'!$E$11*C32</f>
        <v>2139.61235689772</v>
      </c>
      <c r="L32" s="25" t="n">
        <f aca="false">J32*'Cover &amp; Assumptions'!$D$12*E32*'Cover &amp; Assumptions'!$E$12*C32</f>
        <v>2649.67474538417</v>
      </c>
      <c r="M32" s="25" t="n">
        <f aca="false">J32*'Cover &amp; Assumptions'!$D$13*E32*'Cover &amp; Assumptions'!$E$13*C32</f>
        <v>4610.43405696846</v>
      </c>
      <c r="N32" s="25" t="n">
        <f aca="false">K32*'Cover &amp; Assumptions'!$C$11+L32*'Cover &amp; Assumptions'!$C$12+M32*'Cover &amp; Assumptions'!$C$13</f>
        <v>3037.85209558296</v>
      </c>
    </row>
    <row r="33" customFormat="false" ht="15" hidden="false" customHeight="false" outlineLevel="0" collapsed="false">
      <c r="A33" s="17" t="str">
        <f aca="false">Portfolio!A33</f>
        <v>UKSME-101015</v>
      </c>
      <c r="B33" s="17" t="str">
        <f aca="false">Portfolio!B33</f>
        <v>Manufacturing</v>
      </c>
      <c r="C33" s="21" t="n">
        <f aca="false">Portfolio!D33</f>
        <v>62655</v>
      </c>
      <c r="D33" s="22" t="n">
        <f aca="false">Portfolio!G33</f>
        <v>0.295481985006753</v>
      </c>
      <c r="E33" s="23" t="n">
        <f aca="false">Portfolio!E33</f>
        <v>0.901</v>
      </c>
      <c r="F33" s="17" t="n">
        <f aca="false">Portfolio!F33</f>
        <v>35</v>
      </c>
      <c r="G33" s="16" t="str">
        <f aca="false">IF(OR(F33&gt;='Cover &amp; Assumptions'!$C$22,Portfolio!I33=1),"Stage 3",IF(OR(F33&gt;=30,D33&gt;'Cover &amp; Assumptions'!$C$21),"Stage 2","Stage 1"))</f>
        <v>Stage 2</v>
      </c>
      <c r="H33" s="16" t="n">
        <f aca="false">IF(G33="Stage 1",12,MIN(Portfolio!H33,60))</f>
        <v>48</v>
      </c>
      <c r="I33" s="24" t="n">
        <f aca="false">1-(1-D33)^(H33/12)</f>
        <v>0.753641012155094</v>
      </c>
      <c r="J33" s="24" t="n">
        <f aca="false">IF(G33="Stage 1",D33,I33)</f>
        <v>0.753641012155094</v>
      </c>
      <c r="K33" s="25" t="n">
        <f aca="false">J33*'Cover &amp; Assumptions'!$D$11*E33*'Cover &amp; Assumptions'!$E$11*C33</f>
        <v>34354.812330273</v>
      </c>
      <c r="L33" s="25" t="n">
        <f aca="false">J33*'Cover &amp; Assumptions'!$D$12*E33*'Cover &amp; Assumptions'!$E$12*C33</f>
        <v>42544.6592325362</v>
      </c>
      <c r="M33" s="25" t="n">
        <f aca="false">J33*'Cover &amp; Assumptions'!$D$13*E33*'Cover &amp; Assumptions'!$E$13*C33</f>
        <v>74027.7070646131</v>
      </c>
      <c r="N33" s="25" t="n">
        <f aca="false">K33*'Cover &amp; Assumptions'!$C$11+L33*'Cover &amp; Assumptions'!$C$12+M33*'Cover &amp; Assumptions'!$C$13</f>
        <v>48777.4518101028</v>
      </c>
    </row>
    <row r="34" customFormat="false" ht="15" hidden="false" customHeight="false" outlineLevel="0" collapsed="false">
      <c r="A34" s="17" t="str">
        <f aca="false">Portfolio!A34</f>
        <v>UKSME-108921</v>
      </c>
      <c r="B34" s="17" t="str">
        <f aca="false">Portfolio!B34</f>
        <v>Healthcare</v>
      </c>
      <c r="C34" s="21" t="n">
        <f aca="false">Portfolio!D34</f>
        <v>140961</v>
      </c>
      <c r="D34" s="22" t="n">
        <f aca="false">Portfolio!G34</f>
        <v>0.139043023611805</v>
      </c>
      <c r="E34" s="23" t="n">
        <f aca="false">Portfolio!E34</f>
        <v>0.462</v>
      </c>
      <c r="F34" s="17" t="n">
        <f aca="false">Portfolio!F34</f>
        <v>0</v>
      </c>
      <c r="G34" s="16" t="str">
        <f aca="false">IF(OR(F34&gt;='Cover &amp; Assumptions'!$C$22,Portfolio!I34=1),"Stage 3",IF(OR(F34&gt;=30,D34&gt;'Cover &amp; Assumptions'!$C$21),"Stage 2","Stage 1"))</f>
        <v>Stage 1</v>
      </c>
      <c r="H34" s="16" t="n">
        <f aca="false">IF(G34="Stage 1",12,MIN(Portfolio!H34,60))</f>
        <v>12</v>
      </c>
      <c r="I34" s="24" t="n">
        <f aca="false">1-(1-D34)^(H34/12)</f>
        <v>0.139043023611805</v>
      </c>
      <c r="J34" s="24" t="n">
        <f aca="false">IF(G34="Stage 1",D34,I34)</f>
        <v>0.139043023611805</v>
      </c>
      <c r="K34" s="25" t="n">
        <f aca="false">J34*'Cover &amp; Assumptions'!$D$11*E34*'Cover &amp; Assumptions'!$E$11*C34</f>
        <v>7311.94105878854</v>
      </c>
      <c r="L34" s="25" t="n">
        <f aca="false">J34*'Cover &amp; Assumptions'!$D$12*E34*'Cover &amp; Assumptions'!$E$12*C34</f>
        <v>9055.03536692079</v>
      </c>
      <c r="M34" s="25" t="n">
        <f aca="false">J34*'Cover &amp; Assumptions'!$D$13*E34*'Cover &amp; Assumptions'!$E$13*C34</f>
        <v>15755.7615384422</v>
      </c>
      <c r="N34" s="25" t="n">
        <f aca="false">K34*'Cover &amp; Assumptions'!$C$11+L34*'Cover &amp; Assumptions'!$C$12+M34*'Cover &amp; Assumptions'!$C$13</f>
        <v>10381.5980481747</v>
      </c>
    </row>
    <row r="35" customFormat="false" ht="15" hidden="false" customHeight="false" outlineLevel="0" collapsed="false">
      <c r="A35" s="17" t="str">
        <f aca="false">Portfolio!A35</f>
        <v>UKSME-103044</v>
      </c>
      <c r="B35" s="17" t="str">
        <f aca="false">Portfolio!B35</f>
        <v>Technology</v>
      </c>
      <c r="C35" s="21" t="n">
        <f aca="false">Portfolio!D35</f>
        <v>211413</v>
      </c>
      <c r="D35" s="22" t="n">
        <f aca="false">Portfolio!G35</f>
        <v>0.122754618101984</v>
      </c>
      <c r="E35" s="23" t="n">
        <f aca="false">Portfolio!E35</f>
        <v>0.541</v>
      </c>
      <c r="F35" s="17" t="n">
        <f aca="false">Portfolio!F35</f>
        <v>0</v>
      </c>
      <c r="G35" s="16" t="str">
        <f aca="false">IF(OR(F35&gt;='Cover &amp; Assumptions'!$C$22,Portfolio!I35=1),"Stage 3",IF(OR(F35&gt;=30,D35&gt;'Cover &amp; Assumptions'!$C$21),"Stage 2","Stage 1"))</f>
        <v>Stage 1</v>
      </c>
      <c r="H35" s="16" t="n">
        <f aca="false">IF(G35="Stage 1",12,MIN(Portfolio!H35,60))</f>
        <v>12</v>
      </c>
      <c r="I35" s="24" t="n">
        <f aca="false">1-(1-D35)^(H35/12)</f>
        <v>0.122754618101984</v>
      </c>
      <c r="J35" s="24" t="n">
        <f aca="false">IF(G35="Stage 1",D35,I35)</f>
        <v>0.122754618101984</v>
      </c>
      <c r="K35" s="25" t="n">
        <f aca="false">J35*'Cover &amp; Assumptions'!$D$11*E35*'Cover &amp; Assumptions'!$E$11*C35</f>
        <v>11337.2917986634</v>
      </c>
      <c r="L35" s="25" t="n">
        <f aca="false">J35*'Cover &amp; Assumptions'!$D$12*E35*'Cover &amp; Assumptions'!$E$12*C35</f>
        <v>14039.989843546</v>
      </c>
      <c r="M35" s="25" t="n">
        <f aca="false">J35*'Cover &amp; Assumptions'!$D$13*E35*'Cover &amp; Assumptions'!$E$13*C35</f>
        <v>24429.58232777</v>
      </c>
      <c r="N35" s="25" t="n">
        <f aca="false">K35*'Cover &amp; Assumptions'!$C$11+L35*'Cover &amp; Assumptions'!$C$12+M35*'Cover &amp; Assumptions'!$C$13</f>
        <v>16096.8483556255</v>
      </c>
    </row>
    <row r="36" customFormat="false" ht="15" hidden="false" customHeight="false" outlineLevel="0" collapsed="false">
      <c r="A36" s="17" t="str">
        <f aca="false">Portfolio!A36</f>
        <v>UKSME-103498</v>
      </c>
      <c r="B36" s="17" t="str">
        <f aca="false">Portfolio!B36</f>
        <v>Manufacturing</v>
      </c>
      <c r="C36" s="21" t="n">
        <f aca="false">Portfolio!D36</f>
        <v>15323</v>
      </c>
      <c r="D36" s="22" t="n">
        <f aca="false">Portfolio!G36</f>
        <v>0.190175670524104</v>
      </c>
      <c r="E36" s="23" t="n">
        <f aca="false">Portfolio!E36</f>
        <v>0.474</v>
      </c>
      <c r="F36" s="17" t="n">
        <f aca="false">Portfolio!F36</f>
        <v>0</v>
      </c>
      <c r="G36" s="16" t="str">
        <f aca="false">IF(OR(F36&gt;='Cover &amp; Assumptions'!$C$22,Portfolio!I36=1),"Stage 3",IF(OR(F36&gt;=30,D36&gt;'Cover &amp; Assumptions'!$C$21),"Stage 2","Stage 1"))</f>
        <v>Stage 2</v>
      </c>
      <c r="H36" s="16" t="n">
        <f aca="false">IF(G36="Stage 1",12,MIN(Portfolio!H36,60))</f>
        <v>60</v>
      </c>
      <c r="I36" s="24" t="n">
        <f aca="false">1-(1-D36)^(H36/12)</f>
        <v>0.651699497934118</v>
      </c>
      <c r="J36" s="24" t="n">
        <f aca="false">IF(G36="Stage 1",D36,I36)</f>
        <v>0.651699497934118</v>
      </c>
      <c r="K36" s="25" t="n">
        <f aca="false">J36*'Cover &amp; Assumptions'!$D$11*E36*'Cover &amp; Assumptions'!$E$11*C36</f>
        <v>3822.18814092676</v>
      </c>
      <c r="L36" s="25" t="n">
        <f aca="false">J36*'Cover &amp; Assumptions'!$D$12*E36*'Cover &amp; Assumptions'!$E$12*C36</f>
        <v>4733.35992684429</v>
      </c>
      <c r="M36" s="25" t="n">
        <f aca="false">J36*'Cover &amp; Assumptions'!$D$13*E36*'Cover &amp; Assumptions'!$E$13*C36</f>
        <v>8236.04627270905</v>
      </c>
      <c r="N36" s="25" t="n">
        <f aca="false">K36*'Cover &amp; Assumptions'!$C$11+L36*'Cover &amp; Assumptions'!$C$12+M36*'Cover &amp; Assumptions'!$C$13</f>
        <v>5426.79715612697</v>
      </c>
    </row>
    <row r="37" customFormat="false" ht="15" hidden="false" customHeight="false" outlineLevel="0" collapsed="false">
      <c r="A37" s="17" t="str">
        <f aca="false">Portfolio!A37</f>
        <v>UKSME-105524</v>
      </c>
      <c r="B37" s="17" t="str">
        <f aca="false">Portfolio!B37</f>
        <v>Retail</v>
      </c>
      <c r="C37" s="21" t="n">
        <f aca="false">Portfolio!D37</f>
        <v>31368</v>
      </c>
      <c r="D37" s="22" t="n">
        <f aca="false">Portfolio!G37</f>
        <v>0.001</v>
      </c>
      <c r="E37" s="23" t="n">
        <f aca="false">Portfolio!E37</f>
        <v>0.273</v>
      </c>
      <c r="F37" s="17" t="n">
        <f aca="false">Portfolio!F37</f>
        <v>0</v>
      </c>
      <c r="G37" s="16" t="str">
        <f aca="false">IF(OR(F37&gt;='Cover &amp; Assumptions'!$C$22,Portfolio!I37=1),"Stage 3",IF(OR(F37&gt;=30,D37&gt;'Cover &amp; Assumptions'!$C$21),"Stage 2","Stage 1"))</f>
        <v>Stage 1</v>
      </c>
      <c r="H37" s="16" t="n">
        <f aca="false">IF(G37="Stage 1",12,MIN(Portfolio!H37,60))</f>
        <v>12</v>
      </c>
      <c r="I37" s="24" t="n">
        <f aca="false">1-(1-D37)^(H37/12)</f>
        <v>0.001</v>
      </c>
      <c r="J37" s="24" t="n">
        <f aca="false">IF(G37="Stage 1",D37,I37)</f>
        <v>0.001</v>
      </c>
      <c r="K37" s="25" t="n">
        <f aca="false">J37*'Cover &amp; Assumptions'!$D$11*E37*'Cover &amp; Assumptions'!$E$11*C37</f>
        <v>6.91499718</v>
      </c>
      <c r="L37" s="25" t="n">
        <f aca="false">J37*'Cover &amp; Assumptions'!$D$12*E37*'Cover &amp; Assumptions'!$E$12*C37</f>
        <v>8.563464</v>
      </c>
      <c r="M37" s="25" t="n">
        <f aca="false">J37*'Cover &amp; Assumptions'!$D$13*E37*'Cover &amp; Assumptions'!$E$13*C37</f>
        <v>14.90042736</v>
      </c>
      <c r="N37" s="25" t="n">
        <f aca="false">K37*'Cover &amp; Assumptions'!$C$11+L37*'Cover &amp; Assumptions'!$C$12+M37*'Cover &amp; Assumptions'!$C$13</f>
        <v>9.818011476</v>
      </c>
    </row>
    <row r="38" customFormat="false" ht="15" hidden="false" customHeight="false" outlineLevel="0" collapsed="false">
      <c r="A38" s="17" t="str">
        <f aca="false">Portfolio!A38</f>
        <v>UKSME-109554</v>
      </c>
      <c r="B38" s="17" t="str">
        <f aca="false">Portfolio!B38</f>
        <v>Transport</v>
      </c>
      <c r="C38" s="21" t="n">
        <f aca="false">Portfolio!D38</f>
        <v>46984</v>
      </c>
      <c r="D38" s="22" t="n">
        <f aca="false">Portfolio!G38</f>
        <v>0.224203598474115</v>
      </c>
      <c r="E38" s="23" t="n">
        <f aca="false">Portfolio!E38</f>
        <v>0.075</v>
      </c>
      <c r="F38" s="17" t="n">
        <f aca="false">Portfolio!F38</f>
        <v>0</v>
      </c>
      <c r="G38" s="16" t="str">
        <f aca="false">IF(OR(F38&gt;='Cover &amp; Assumptions'!$C$22,Portfolio!I38=1),"Stage 3",IF(OR(F38&gt;=30,D38&gt;'Cover &amp; Assumptions'!$C$21),"Stage 2","Stage 1"))</f>
        <v>Stage 3</v>
      </c>
      <c r="H38" s="16" t="n">
        <f aca="false">IF(G38="Stage 1",12,MIN(Portfolio!H38,60))</f>
        <v>60</v>
      </c>
      <c r="I38" s="24" t="n">
        <f aca="false">1-(1-D38)^(H38/12)</f>
        <v>0.71897898106265</v>
      </c>
      <c r="J38" s="24" t="n">
        <f aca="false">IF(G38="Stage 1",D38,I38)</f>
        <v>0.71897898106265</v>
      </c>
      <c r="K38" s="25" t="n">
        <f aca="false">J38*'Cover &amp; Assumptions'!$D$11*E38*'Cover &amp; Assumptions'!$E$11*C38</f>
        <v>2045.83204277587</v>
      </c>
      <c r="L38" s="25" t="n">
        <f aca="false">J38*'Cover &amp; Assumptions'!$D$12*E38*'Cover &amp; Assumptions'!$E$12*C38</f>
        <v>2533.53813346857</v>
      </c>
      <c r="M38" s="25" t="n">
        <f aca="false">J38*'Cover &amp; Assumptions'!$D$13*E38*'Cover &amp; Assumptions'!$E$13*C38</f>
        <v>4408.3563522353</v>
      </c>
      <c r="N38" s="25" t="n">
        <f aca="false">K38*'Cover &amp; Assumptions'!$C$11+L38*'Cover &amp; Assumptions'!$C$12+M38*'Cover &amp; Assumptions'!$C$13</f>
        <v>2904.70147002171</v>
      </c>
    </row>
    <row r="39" customFormat="false" ht="15" hidden="false" customHeight="false" outlineLevel="0" collapsed="false">
      <c r="A39" s="17" t="str">
        <f aca="false">Portfolio!A39</f>
        <v>UKSME-102846</v>
      </c>
      <c r="B39" s="17" t="str">
        <f aca="false">Portfolio!B39</f>
        <v>Transport</v>
      </c>
      <c r="C39" s="21" t="n">
        <f aca="false">Portfolio!D39</f>
        <v>136092</v>
      </c>
      <c r="D39" s="22" t="n">
        <f aca="false">Portfolio!G39</f>
        <v>0.102610641115196</v>
      </c>
      <c r="E39" s="23" t="n">
        <f aca="false">Portfolio!E39</f>
        <v>0.696</v>
      </c>
      <c r="F39" s="17" t="n">
        <f aca="false">Portfolio!F39</f>
        <v>0</v>
      </c>
      <c r="G39" s="16" t="str">
        <f aca="false">IF(OR(F39&gt;='Cover &amp; Assumptions'!$C$22,Portfolio!I39=1),"Stage 3",IF(OR(F39&gt;=30,D39&gt;'Cover &amp; Assumptions'!$C$21),"Stage 2","Stage 1"))</f>
        <v>Stage 1</v>
      </c>
      <c r="H39" s="16" t="n">
        <f aca="false">IF(G39="Stage 1",12,MIN(Portfolio!H39,60))</f>
        <v>12</v>
      </c>
      <c r="I39" s="24" t="n">
        <f aca="false">1-(1-D39)^(H39/12)</f>
        <v>0.102610641115196</v>
      </c>
      <c r="J39" s="24" t="n">
        <f aca="false">IF(G39="Stage 1",D39,I39)</f>
        <v>0.102610641115196</v>
      </c>
      <c r="K39" s="25" t="n">
        <f aca="false">J39*'Cover &amp; Assumptions'!$D$11*E39*'Cover &amp; Assumptions'!$E$11*C39</f>
        <v>7848.32119205232</v>
      </c>
      <c r="L39" s="25" t="n">
        <f aca="false">J39*'Cover &amp; Assumptions'!$D$12*E39*'Cover &amp; Assumptions'!$E$12*C39</f>
        <v>9719.28320997192</v>
      </c>
      <c r="M39" s="25" t="n">
        <f aca="false">J39*'Cover &amp; Assumptions'!$D$13*E39*'Cover &amp; Assumptions'!$E$13*C39</f>
        <v>16911.5527853511</v>
      </c>
      <c r="N39" s="25" t="n">
        <f aca="false">K39*'Cover &amp; Assumptions'!$C$11+L39*'Cover &amp; Assumptions'!$C$12+M39*'Cover &amp; Assumptions'!$C$13</f>
        <v>11143.1582002328</v>
      </c>
    </row>
    <row r="40" customFormat="false" ht="15" hidden="false" customHeight="false" outlineLevel="0" collapsed="false">
      <c r="A40" s="17" t="str">
        <f aca="false">Portfolio!A40</f>
        <v>UKSME-100835</v>
      </c>
      <c r="B40" s="17" t="str">
        <f aca="false">Portfolio!B40</f>
        <v>Healthcare</v>
      </c>
      <c r="C40" s="21" t="n">
        <f aca="false">Portfolio!D40</f>
        <v>65601</v>
      </c>
      <c r="D40" s="22" t="n">
        <f aca="false">Portfolio!G40</f>
        <v>0.0936126859171111</v>
      </c>
      <c r="E40" s="23" t="n">
        <f aca="false">Portfolio!E40</f>
        <v>0.851</v>
      </c>
      <c r="F40" s="17" t="n">
        <f aca="false">Portfolio!F40</f>
        <v>0</v>
      </c>
      <c r="G40" s="16" t="str">
        <f aca="false">IF(OR(F40&gt;='Cover &amp; Assumptions'!$C$22,Portfolio!I40=1),"Stage 3",IF(OR(F40&gt;=30,D40&gt;'Cover &amp; Assumptions'!$C$21),"Stage 2","Stage 1"))</f>
        <v>Stage 1</v>
      </c>
      <c r="H40" s="16" t="n">
        <f aca="false">IF(G40="Stage 1",12,MIN(Portfolio!H40,60))</f>
        <v>12</v>
      </c>
      <c r="I40" s="24" t="n">
        <f aca="false">1-(1-D40)^(H40/12)</f>
        <v>0.0936126859171111</v>
      </c>
      <c r="J40" s="24" t="n">
        <f aca="false">IF(G40="Stage 1",D40,I40)</f>
        <v>0.0936126859171111</v>
      </c>
      <c r="K40" s="25" t="n">
        <f aca="false">J40*'Cover &amp; Assumptions'!$D$11*E40*'Cover &amp; Assumptions'!$E$11*C40</f>
        <v>4220.04669883897</v>
      </c>
      <c r="L40" s="25" t="n">
        <f aca="false">J40*'Cover &amp; Assumptions'!$D$12*E40*'Cover &amp; Assumptions'!$E$12*C40</f>
        <v>5226.06402332999</v>
      </c>
      <c r="M40" s="25" t="n">
        <f aca="false">J40*'Cover &amp; Assumptions'!$D$13*E40*'Cover &amp; Assumptions'!$E$13*C40</f>
        <v>9093.35140059419</v>
      </c>
      <c r="N40" s="25" t="n">
        <f aca="false">K40*'Cover &amp; Assumptions'!$C$11+L40*'Cover &amp; Assumptions'!$C$12+M40*'Cover &amp; Assumptions'!$C$13</f>
        <v>5991.68240274784</v>
      </c>
    </row>
    <row r="41" customFormat="false" ht="15" hidden="false" customHeight="false" outlineLevel="0" collapsed="false">
      <c r="A41" s="17" t="str">
        <f aca="false">Portfolio!A41</f>
        <v>UKSME-104863</v>
      </c>
      <c r="B41" s="17" t="str">
        <f aca="false">Portfolio!B41</f>
        <v>Manufacturing</v>
      </c>
      <c r="C41" s="21" t="n">
        <f aca="false">Portfolio!D41</f>
        <v>257114</v>
      </c>
      <c r="D41" s="22" t="n">
        <f aca="false">Portfolio!G41</f>
        <v>0.226696591539684</v>
      </c>
      <c r="E41" s="23" t="n">
        <f aca="false">Portfolio!E41</f>
        <v>0.818</v>
      </c>
      <c r="F41" s="17" t="n">
        <f aca="false">Portfolio!F41</f>
        <v>0</v>
      </c>
      <c r="G41" s="16" t="str">
        <f aca="false">IF(OR(F41&gt;='Cover &amp; Assumptions'!$C$22,Portfolio!I41=1),"Stage 3",IF(OR(F41&gt;=30,D41&gt;'Cover &amp; Assumptions'!$C$21),"Stage 2","Stage 1"))</f>
        <v>Stage 2</v>
      </c>
      <c r="H41" s="16" t="n">
        <f aca="false">IF(G41="Stage 1",12,MIN(Portfolio!H41,60))</f>
        <v>48</v>
      </c>
      <c r="I41" s="24" t="n">
        <f aca="false">1-(1-D41)^(H41/12)</f>
        <v>0.642398198799154</v>
      </c>
      <c r="J41" s="24" t="n">
        <f aca="false">IF(G41="Stage 1",D41,I41)</f>
        <v>0.642398198799154</v>
      </c>
      <c r="K41" s="25" t="n">
        <f aca="false">J41*'Cover &amp; Assumptions'!$D$11*E41*'Cover &amp; Assumptions'!$E$11*C41</f>
        <v>109100.282241</v>
      </c>
      <c r="L41" s="25" t="n">
        <f aca="false">J41*'Cover &amp; Assumptions'!$D$12*E41*'Cover &amp; Assumptions'!$E$12*C41</f>
        <v>135108.708657585</v>
      </c>
      <c r="M41" s="25" t="n">
        <f aca="false">J41*'Cover &amp; Assumptions'!$D$13*E41*'Cover &amp; Assumptions'!$E$13*C41</f>
        <v>235089.153064198</v>
      </c>
      <c r="N41" s="25" t="n">
        <f aca="false">K41*'Cover &amp; Assumptions'!$C$11+L41*'Cover &amp; Assumptions'!$C$12+M41*'Cover &amp; Assumptions'!$C$13</f>
        <v>154902.134475922</v>
      </c>
    </row>
    <row r="42" customFormat="false" ht="15" hidden="false" customHeight="false" outlineLevel="0" collapsed="false">
      <c r="A42" s="17" t="str">
        <f aca="false">Portfolio!A42</f>
        <v>UKSME-103297</v>
      </c>
      <c r="B42" s="17" t="str">
        <f aca="false">Portfolio!B42</f>
        <v>Healthcare</v>
      </c>
      <c r="C42" s="21" t="n">
        <f aca="false">Portfolio!D42</f>
        <v>36341</v>
      </c>
      <c r="D42" s="22" t="n">
        <f aca="false">Portfolio!G42</f>
        <v>0.186187471502227</v>
      </c>
      <c r="E42" s="23" t="n">
        <f aca="false">Portfolio!E42</f>
        <v>0.153</v>
      </c>
      <c r="F42" s="17" t="n">
        <f aca="false">Portfolio!F42</f>
        <v>35</v>
      </c>
      <c r="G42" s="16" t="str">
        <f aca="false">IF(OR(F42&gt;='Cover &amp; Assumptions'!$C$22,Portfolio!I42=1),"Stage 3",IF(OR(F42&gt;=30,D42&gt;'Cover &amp; Assumptions'!$C$21),"Stage 2","Stage 1"))</f>
        <v>Stage 2</v>
      </c>
      <c r="H42" s="16" t="n">
        <f aca="false">IF(G42="Stage 1",12,MIN(Portfolio!H42,60))</f>
        <v>36</v>
      </c>
      <c r="I42" s="24" t="n">
        <f aca="false">1-(1-D42)^(H42/12)</f>
        <v>0.461019423783589</v>
      </c>
      <c r="J42" s="24" t="n">
        <f aca="false">IF(G42="Stage 1",D42,I42)</f>
        <v>0.461019423783589</v>
      </c>
      <c r="K42" s="25" t="n">
        <f aca="false">J42*'Cover &amp; Assumptions'!$D$11*E42*'Cover &amp; Assumptions'!$E$11*C42</f>
        <v>2069.90331022213</v>
      </c>
      <c r="L42" s="25" t="n">
        <f aca="false">J42*'Cover &amp; Assumptions'!$D$12*E42*'Cover &amp; Assumptions'!$E$12*C42</f>
        <v>2563.34775259707</v>
      </c>
      <c r="M42" s="25" t="n">
        <f aca="false">J42*'Cover &amp; Assumptions'!$D$13*E42*'Cover &amp; Assumptions'!$E$13*C42</f>
        <v>4460.2250895189</v>
      </c>
      <c r="N42" s="25" t="n">
        <f aca="false">K42*'Cover &amp; Assumptions'!$C$11+L42*'Cover &amp; Assumptions'!$C$12+M42*'Cover &amp; Assumptions'!$C$13</f>
        <v>2938.87819835254</v>
      </c>
    </row>
    <row r="43" customFormat="false" ht="15" hidden="false" customHeight="false" outlineLevel="0" collapsed="false">
      <c r="A43" s="17" t="str">
        <f aca="false">Portfolio!A43</f>
        <v>UKSME-107961</v>
      </c>
      <c r="B43" s="17" t="str">
        <f aca="false">Portfolio!B43</f>
        <v>Real Estate</v>
      </c>
      <c r="C43" s="21" t="n">
        <f aca="false">Portfolio!D43</f>
        <v>34004</v>
      </c>
      <c r="D43" s="22" t="n">
        <f aca="false">Portfolio!G43</f>
        <v>0.245504826145045</v>
      </c>
      <c r="E43" s="23" t="n">
        <f aca="false">Portfolio!E43</f>
        <v>0.816</v>
      </c>
      <c r="F43" s="17" t="n">
        <f aca="false">Portfolio!F43</f>
        <v>0</v>
      </c>
      <c r="G43" s="16" t="str">
        <f aca="false">IF(OR(F43&gt;='Cover &amp; Assumptions'!$C$22,Portfolio!I43=1),"Stage 3",IF(OR(F43&gt;=30,D43&gt;'Cover &amp; Assumptions'!$C$21),"Stage 2","Stage 1"))</f>
        <v>Stage 2</v>
      </c>
      <c r="H43" s="16" t="n">
        <f aca="false">IF(G43="Stage 1",12,MIN(Portfolio!H43,60))</f>
        <v>60</v>
      </c>
      <c r="I43" s="24" t="n">
        <f aca="false">1-(1-D43)^(H43/12)</f>
        <v>0.755498047980519</v>
      </c>
      <c r="J43" s="24" t="n">
        <f aca="false">IF(G43="Stage 1",D43,I43)</f>
        <v>0.755498047980519</v>
      </c>
      <c r="K43" s="25" t="n">
        <f aca="false">J43*'Cover &amp; Assumptions'!$D$11*E43*'Cover &amp; Assumptions'!$E$11*C43</f>
        <v>16927.6255594561</v>
      </c>
      <c r="L43" s="25" t="n">
        <f aca="false">J43*'Cover &amp; Assumptions'!$D$12*E43*'Cover &amp; Assumptions'!$E$12*C43</f>
        <v>20963.0037888001</v>
      </c>
      <c r="M43" s="25" t="n">
        <f aca="false">J43*'Cover &amp; Assumptions'!$D$13*E43*'Cover &amp; Assumptions'!$E$13*C43</f>
        <v>36475.6265925122</v>
      </c>
      <c r="N43" s="25" t="n">
        <f aca="false">K43*'Cover &amp; Assumptions'!$C$11+L43*'Cover &amp; Assumptions'!$C$12+M43*'Cover &amp; Assumptions'!$C$13</f>
        <v>24034.0838438593</v>
      </c>
    </row>
    <row r="44" customFormat="false" ht="15" hidden="false" customHeight="false" outlineLevel="0" collapsed="false">
      <c r="A44" s="17" t="str">
        <f aca="false">Portfolio!A44</f>
        <v>UKSME-103145</v>
      </c>
      <c r="B44" s="17" t="str">
        <f aca="false">Portfolio!B44</f>
        <v>Manufacturing</v>
      </c>
      <c r="C44" s="21" t="n">
        <f aca="false">Portfolio!D44</f>
        <v>121318</v>
      </c>
      <c r="D44" s="22" t="n">
        <f aca="false">Portfolio!G44</f>
        <v>0.0856745200527179</v>
      </c>
      <c r="E44" s="23" t="n">
        <f aca="false">Portfolio!E44</f>
        <v>0.293</v>
      </c>
      <c r="F44" s="17" t="n">
        <f aca="false">Portfolio!F44</f>
        <v>0</v>
      </c>
      <c r="G44" s="16" t="str">
        <f aca="false">IF(OR(F44&gt;='Cover &amp; Assumptions'!$C$22,Portfolio!I44=1),"Stage 3",IF(OR(F44&gt;=30,D44&gt;'Cover &amp; Assumptions'!$C$21),"Stage 2","Stage 1"))</f>
        <v>Stage 1</v>
      </c>
      <c r="H44" s="16" t="n">
        <f aca="false">IF(G44="Stage 1",12,MIN(Portfolio!H44,60))</f>
        <v>12</v>
      </c>
      <c r="I44" s="24" t="n">
        <f aca="false">1-(1-D44)^(H44/12)</f>
        <v>0.0856745200527179</v>
      </c>
      <c r="J44" s="24" t="n">
        <f aca="false">IF(G44="Stage 1",D44,I44)</f>
        <v>0.0856745200527179</v>
      </c>
      <c r="K44" s="25" t="n">
        <f aca="false">J44*'Cover &amp; Assumptions'!$D$11*E44*'Cover &amp; Assumptions'!$E$11*C44</f>
        <v>2459.16162820702</v>
      </c>
      <c r="L44" s="25" t="n">
        <f aca="false">J44*'Cover &amp; Assumptions'!$D$12*E44*'Cover &amp; Assumptions'!$E$12*C44</f>
        <v>3045.4013971604</v>
      </c>
      <c r="M44" s="25" t="n">
        <f aca="false">J44*'Cover &amp; Assumptions'!$D$13*E44*'Cover &amp; Assumptions'!$E$13*C44</f>
        <v>5298.99843105909</v>
      </c>
      <c r="N44" s="25" t="n">
        <f aca="false">K44*'Cover &amp; Assumptions'!$C$11+L44*'Cover &amp; Assumptions'!$C$12+M44*'Cover &amp; Assumptions'!$C$13</f>
        <v>3491.5527018444</v>
      </c>
    </row>
    <row r="45" customFormat="false" ht="15" hidden="false" customHeight="false" outlineLevel="0" collapsed="false">
      <c r="A45" s="17" t="str">
        <f aca="false">Portfolio!A45</f>
        <v>UKSME-106115</v>
      </c>
      <c r="B45" s="17" t="str">
        <f aca="false">Portfolio!B45</f>
        <v>Professional Services</v>
      </c>
      <c r="C45" s="21" t="n">
        <f aca="false">Portfolio!D45</f>
        <v>98125</v>
      </c>
      <c r="D45" s="22" t="n">
        <f aca="false">Portfolio!G45</f>
        <v>0.14984490813255</v>
      </c>
      <c r="E45" s="23" t="n">
        <f aca="false">Portfolio!E45</f>
        <v>0.464</v>
      </c>
      <c r="F45" s="17" t="n">
        <f aca="false">Portfolio!F45</f>
        <v>0</v>
      </c>
      <c r="G45" s="16" t="str">
        <f aca="false">IF(OR(F45&gt;='Cover &amp; Assumptions'!$C$22,Portfolio!I45=1),"Stage 3",IF(OR(F45&gt;=30,D45&gt;'Cover &amp; Assumptions'!$C$21),"Stage 2","Stage 1"))</f>
        <v>Stage 1</v>
      </c>
      <c r="H45" s="16" t="n">
        <f aca="false">IF(G45="Stage 1",12,MIN(Portfolio!H45,60))</f>
        <v>12</v>
      </c>
      <c r="I45" s="24" t="n">
        <f aca="false">1-(1-D45)^(H45/12)</f>
        <v>0.14984490813255</v>
      </c>
      <c r="J45" s="24" t="n">
        <f aca="false">IF(G45="Stage 1",D45,I45)</f>
        <v>0.14984490813255</v>
      </c>
      <c r="K45" s="25" t="n">
        <f aca="false">J45*'Cover &amp; Assumptions'!$D$11*E45*'Cover &amp; Assumptions'!$E$11*C45</f>
        <v>5509.11922382457</v>
      </c>
      <c r="L45" s="25" t="n">
        <f aca="false">J45*'Cover &amp; Assumptions'!$D$12*E45*'Cover &amp; Assumptions'!$E$12*C45</f>
        <v>6822.43866727501</v>
      </c>
      <c r="M45" s="25" t="n">
        <f aca="false">J45*'Cover &amp; Assumptions'!$D$13*E45*'Cover &amp; Assumptions'!$E$13*C45</f>
        <v>11871.0432810585</v>
      </c>
      <c r="N45" s="25" t="n">
        <f aca="false">K45*'Cover &amp; Assumptions'!$C$11+L45*'Cover &amp; Assumptions'!$C$12+M45*'Cover &amp; Assumptions'!$C$13</f>
        <v>7821.9259320308</v>
      </c>
    </row>
    <row r="46" customFormat="false" ht="15" hidden="false" customHeight="false" outlineLevel="0" collapsed="false">
      <c r="A46" s="17" t="str">
        <f aca="false">Portfolio!A46</f>
        <v>UKSME-101901</v>
      </c>
      <c r="B46" s="17" t="str">
        <f aca="false">Portfolio!B46</f>
        <v>Wholesale</v>
      </c>
      <c r="C46" s="21" t="n">
        <f aca="false">Portfolio!D46</f>
        <v>60243</v>
      </c>
      <c r="D46" s="22" t="n">
        <f aca="false">Portfolio!G46</f>
        <v>0.158243859610598</v>
      </c>
      <c r="E46" s="23" t="n">
        <f aca="false">Portfolio!E46</f>
        <v>0.819</v>
      </c>
      <c r="F46" s="17" t="n">
        <f aca="false">Portfolio!F46</f>
        <v>0</v>
      </c>
      <c r="G46" s="16" t="str">
        <f aca="false">IF(OR(F46&gt;='Cover &amp; Assumptions'!$C$22,Portfolio!I46=1),"Stage 3",IF(OR(F46&gt;=30,D46&gt;'Cover &amp; Assumptions'!$C$21),"Stage 2","Stage 1"))</f>
        <v>Stage 2</v>
      </c>
      <c r="H46" s="16" t="n">
        <f aca="false">IF(G46="Stage 1",12,MIN(Portfolio!H46,60))</f>
        <v>36</v>
      </c>
      <c r="I46" s="24" t="n">
        <f aca="false">1-(1-D46)^(H46/12)</f>
        <v>0.403570824854476</v>
      </c>
      <c r="J46" s="24" t="n">
        <f aca="false">IF(G46="Stage 1",D46,I46)</f>
        <v>0.403570824854476</v>
      </c>
      <c r="K46" s="25" t="n">
        <f aca="false">J46*'Cover &amp; Assumptions'!$D$11*E46*'Cover &amp; Assumptions'!$E$11*C46</f>
        <v>16078.7686389707</v>
      </c>
      <c r="L46" s="25" t="n">
        <f aca="false">J46*'Cover &amp; Assumptions'!$D$12*E46*'Cover &amp; Assumptions'!$E$12*C46</f>
        <v>19911.787788199</v>
      </c>
      <c r="M46" s="25" t="n">
        <f aca="false">J46*'Cover &amp; Assumptions'!$D$13*E46*'Cover &amp; Assumptions'!$E$13*C46</f>
        <v>34646.5107514662</v>
      </c>
      <c r="N46" s="25" t="n">
        <f aca="false">K46*'Cover &amp; Assumptions'!$C$11+L46*'Cover &amp; Assumptions'!$C$12+M46*'Cover &amp; Assumptions'!$C$13</f>
        <v>22828.8646991701</v>
      </c>
    </row>
    <row r="47" customFormat="false" ht="15" hidden="false" customHeight="false" outlineLevel="0" collapsed="false">
      <c r="A47" s="17" t="str">
        <f aca="false">Portfolio!A47</f>
        <v>UKSME-101411</v>
      </c>
      <c r="B47" s="17" t="str">
        <f aca="false">Portfolio!B47</f>
        <v>Transport</v>
      </c>
      <c r="C47" s="21" t="n">
        <f aca="false">Portfolio!D47</f>
        <v>76157</v>
      </c>
      <c r="D47" s="22" t="n">
        <f aca="false">Portfolio!G47</f>
        <v>0.188016300961557</v>
      </c>
      <c r="E47" s="23" t="n">
        <f aca="false">Portfolio!E47</f>
        <v>0.828</v>
      </c>
      <c r="F47" s="17" t="n">
        <f aca="false">Portfolio!F47</f>
        <v>0</v>
      </c>
      <c r="G47" s="16" t="str">
        <f aca="false">IF(OR(F47&gt;='Cover &amp; Assumptions'!$C$22,Portfolio!I47=1),"Stage 3",IF(OR(F47&gt;=30,D47&gt;'Cover &amp; Assumptions'!$C$21),"Stage 2","Stage 1"))</f>
        <v>Stage 2</v>
      </c>
      <c r="H47" s="16" t="n">
        <f aca="false">IF(G47="Stage 1",12,MIN(Portfolio!H47,60))</f>
        <v>60</v>
      </c>
      <c r="I47" s="24" t="n">
        <f aca="false">1-(1-D47)^(H47/12)</f>
        <v>0.647031009137261</v>
      </c>
      <c r="J47" s="24" t="n">
        <f aca="false">IF(G47="Stage 1",D47,I47)</f>
        <v>0.647031009137261</v>
      </c>
      <c r="K47" s="25" t="n">
        <f aca="false">J47*'Cover &amp; Assumptions'!$D$11*E47*'Cover &amp; Assumptions'!$E$11*C47</f>
        <v>32946.3866197381</v>
      </c>
      <c r="L47" s="25" t="n">
        <f aca="false">J47*'Cover &amp; Assumptions'!$D$12*E47*'Cover &amp; Assumptions'!$E$12*C47</f>
        <v>40800.4787860534</v>
      </c>
      <c r="M47" s="25" t="n">
        <f aca="false">J47*'Cover &amp; Assumptions'!$D$13*E47*'Cover &amp; Assumptions'!$E$13*C47</f>
        <v>70992.8330877329</v>
      </c>
      <c r="N47" s="25" t="n">
        <f aca="false">K47*'Cover &amp; Assumptions'!$C$11+L47*'Cover &amp; Assumptions'!$C$12+M47*'Cover &amp; Assumptions'!$C$13</f>
        <v>46777.7489282102</v>
      </c>
    </row>
    <row r="48" customFormat="false" ht="15" hidden="false" customHeight="false" outlineLevel="0" collapsed="false">
      <c r="A48" s="17" t="str">
        <f aca="false">Portfolio!A48</f>
        <v>UKSME-100623</v>
      </c>
      <c r="B48" s="17" t="str">
        <f aca="false">Portfolio!B48</f>
        <v>Transport</v>
      </c>
      <c r="C48" s="21" t="n">
        <f aca="false">Portfolio!D48</f>
        <v>106842</v>
      </c>
      <c r="D48" s="22" t="n">
        <f aca="false">Portfolio!G48</f>
        <v>0.142402116615492</v>
      </c>
      <c r="E48" s="23" t="n">
        <f aca="false">Portfolio!E48</f>
        <v>0.272</v>
      </c>
      <c r="F48" s="17" t="n">
        <f aca="false">Portfolio!F48</f>
        <v>0</v>
      </c>
      <c r="G48" s="16" t="str">
        <f aca="false">IF(OR(F48&gt;='Cover &amp; Assumptions'!$C$22,Portfolio!I48=1),"Stage 3",IF(OR(F48&gt;=30,D48&gt;'Cover &amp; Assumptions'!$C$21),"Stage 2","Stage 1"))</f>
        <v>Stage 1</v>
      </c>
      <c r="H48" s="16" t="n">
        <f aca="false">IF(G48="Stage 1",12,MIN(Portfolio!H48,60))</f>
        <v>12</v>
      </c>
      <c r="I48" s="24" t="n">
        <f aca="false">1-(1-D48)^(H48/12)</f>
        <v>0.142402116615492</v>
      </c>
      <c r="J48" s="24" t="n">
        <f aca="false">IF(G48="Stage 1",D48,I48)</f>
        <v>0.142402116615492</v>
      </c>
      <c r="K48" s="25" t="n">
        <f aca="false">J48*'Cover &amp; Assumptions'!$D$11*E48*'Cover &amp; Assumptions'!$E$11*C48</f>
        <v>3341.7186978555</v>
      </c>
      <c r="L48" s="25" t="n">
        <f aca="false">J48*'Cover &amp; Assumptions'!$D$12*E48*'Cover &amp; Assumptions'!$E$12*C48</f>
        <v>4138.35132861362</v>
      </c>
      <c r="M48" s="25" t="n">
        <f aca="false">J48*'Cover &amp; Assumptions'!$D$13*E48*'Cover &amp; Assumptions'!$E$13*C48</f>
        <v>7200.7313117877</v>
      </c>
      <c r="N48" s="25" t="n">
        <f aca="false">K48*'Cover &amp; Assumptions'!$C$11+L48*'Cover &amp; Assumptions'!$C$12+M48*'Cover &amp; Assumptions'!$C$13</f>
        <v>4744.61979825552</v>
      </c>
    </row>
    <row r="49" customFormat="false" ht="15" hidden="false" customHeight="false" outlineLevel="0" collapsed="false">
      <c r="A49" s="17" t="str">
        <f aca="false">Portfolio!A49</f>
        <v>UKSME-103503</v>
      </c>
      <c r="B49" s="17" t="str">
        <f aca="false">Portfolio!B49</f>
        <v>Manufacturing</v>
      </c>
      <c r="C49" s="21" t="n">
        <f aca="false">Portfolio!D49</f>
        <v>83933</v>
      </c>
      <c r="D49" s="22" t="n">
        <f aca="false">Portfolio!G49</f>
        <v>0.126485581561068</v>
      </c>
      <c r="E49" s="23" t="n">
        <f aca="false">Portfolio!E49</f>
        <v>0.614</v>
      </c>
      <c r="F49" s="17" t="n">
        <f aca="false">Portfolio!F49</f>
        <v>5</v>
      </c>
      <c r="G49" s="16" t="str">
        <f aca="false">IF(OR(F49&gt;='Cover &amp; Assumptions'!$C$22,Portfolio!I49=1),"Stage 3",IF(OR(F49&gt;=30,D49&gt;'Cover &amp; Assumptions'!$C$21),"Stage 2","Stage 1"))</f>
        <v>Stage 3</v>
      </c>
      <c r="H49" s="16" t="n">
        <f aca="false">IF(G49="Stage 1",12,MIN(Portfolio!H49,60))</f>
        <v>60</v>
      </c>
      <c r="I49" s="24" t="n">
        <f aca="false">1-(1-D49)^(H49/12)</f>
        <v>0.491430407859342</v>
      </c>
      <c r="J49" s="24" t="n">
        <f aca="false">IF(G49="Stage 1",D49,I49)</f>
        <v>0.491430407859342</v>
      </c>
      <c r="K49" s="25" t="n">
        <f aca="false">J49*'Cover &amp; Assumptions'!$D$11*E49*'Cover &amp; Assumptions'!$E$11*C49</f>
        <v>20450.5820881952</v>
      </c>
      <c r="L49" s="25" t="n">
        <f aca="false">J49*'Cover &amp; Assumptions'!$D$12*E49*'Cover &amp; Assumptions'!$E$12*C49</f>
        <v>25325.7982516349</v>
      </c>
      <c r="M49" s="25" t="n">
        <f aca="false">J49*'Cover &amp; Assumptions'!$D$13*E49*'Cover &amp; Assumptions'!$E$13*C49</f>
        <v>44066.8889578447</v>
      </c>
      <c r="N49" s="25" t="n">
        <f aca="false">K49*'Cover &amp; Assumptions'!$C$11+L49*'Cover &amp; Assumptions'!$C$12+M49*'Cover &amp; Assumptions'!$C$13</f>
        <v>29036.0276954994</v>
      </c>
    </row>
    <row r="50" customFormat="false" ht="15" hidden="false" customHeight="false" outlineLevel="0" collapsed="false">
      <c r="A50" s="17" t="str">
        <f aca="false">Portfolio!A50</f>
        <v>UKSME-103066</v>
      </c>
      <c r="B50" s="17" t="str">
        <f aca="false">Portfolio!B50</f>
        <v>Transport</v>
      </c>
      <c r="C50" s="21" t="n">
        <f aca="false">Portfolio!D50</f>
        <v>60988</v>
      </c>
      <c r="D50" s="22" t="n">
        <f aca="false">Portfolio!G50</f>
        <v>0.164762359561554</v>
      </c>
      <c r="E50" s="23" t="n">
        <f aca="false">Portfolio!E50</f>
        <v>0.254</v>
      </c>
      <c r="F50" s="17" t="n">
        <f aca="false">Portfolio!F50</f>
        <v>0</v>
      </c>
      <c r="G50" s="16" t="str">
        <f aca="false">IF(OR(F50&gt;='Cover &amp; Assumptions'!$C$22,Portfolio!I50=1),"Stage 3",IF(OR(F50&gt;=30,D50&gt;'Cover &amp; Assumptions'!$C$21),"Stage 2","Stage 1"))</f>
        <v>Stage 2</v>
      </c>
      <c r="H50" s="16" t="n">
        <f aca="false">IF(G50="Stage 1",12,MIN(Portfolio!H50,60))</f>
        <v>60</v>
      </c>
      <c r="I50" s="24" t="n">
        <f aca="false">1-(1-D50)^(H50/12)</f>
        <v>0.593509604049959</v>
      </c>
      <c r="J50" s="24" t="n">
        <f aca="false">IF(G50="Stage 1",D50,I50)</f>
        <v>0.593509604049959</v>
      </c>
      <c r="K50" s="25" t="n">
        <f aca="false">J50*'Cover &amp; Assumptions'!$D$11*E50*'Cover &amp; Assumptions'!$E$11*C50</f>
        <v>7424.17824621061</v>
      </c>
      <c r="L50" s="25" t="n">
        <f aca="false">J50*'Cover &amp; Assumptions'!$D$12*E50*'Cover &amp; Assumptions'!$E$12*C50</f>
        <v>9194.02878787692</v>
      </c>
      <c r="M50" s="25" t="n">
        <f aca="false">J50*'Cover &amp; Assumptions'!$D$13*E50*'Cover &amp; Assumptions'!$E$13*C50</f>
        <v>15997.6100909058</v>
      </c>
      <c r="N50" s="25" t="n">
        <f aca="false">K50*'Cover &amp; Assumptions'!$C$11+L50*'Cover &amp; Assumptions'!$C$12+M50*'Cover &amp; Assumptions'!$C$13</f>
        <v>10540.9540053009</v>
      </c>
    </row>
    <row r="51" customFormat="false" ht="15" hidden="false" customHeight="false" outlineLevel="0" collapsed="false">
      <c r="A51" s="17" t="str">
        <f aca="false">Portfolio!A51</f>
        <v>UKSME-100641</v>
      </c>
      <c r="B51" s="17" t="str">
        <f aca="false">Portfolio!B51</f>
        <v>Hospitality</v>
      </c>
      <c r="C51" s="21" t="n">
        <f aca="false">Portfolio!D51</f>
        <v>54874</v>
      </c>
      <c r="D51" s="22" t="n">
        <f aca="false">Portfolio!G51</f>
        <v>0.172012625137107</v>
      </c>
      <c r="E51" s="23" t="n">
        <f aca="false">Portfolio!E51</f>
        <v>0.597</v>
      </c>
      <c r="F51" s="17" t="n">
        <f aca="false">Portfolio!F51</f>
        <v>0</v>
      </c>
      <c r="G51" s="16" t="str">
        <f aca="false">IF(OR(F51&gt;='Cover &amp; Assumptions'!$C$22,Portfolio!I51=1),"Stage 3",IF(OR(F51&gt;=30,D51&gt;'Cover &amp; Assumptions'!$C$21),"Stage 2","Stage 1"))</f>
        <v>Stage 2</v>
      </c>
      <c r="H51" s="16" t="n">
        <f aca="false">IF(G51="Stage 1",12,MIN(Portfolio!H51,60))</f>
        <v>48</v>
      </c>
      <c r="I51" s="24" t="n">
        <f aca="false">1-(1-D51)^(H51/12)</f>
        <v>0.530003245609036</v>
      </c>
      <c r="J51" s="24" t="n">
        <f aca="false">IF(G51="Stage 1",D51,I51)</f>
        <v>0.530003245609036</v>
      </c>
      <c r="K51" s="25" t="n">
        <f aca="false">J51*'Cover &amp; Assumptions'!$D$11*E51*'Cover &amp; Assumptions'!$E$11*C51</f>
        <v>14020.4518473359</v>
      </c>
      <c r="L51" s="25" t="n">
        <f aca="false">J51*'Cover &amp; Assumptions'!$D$12*E51*'Cover &amp; Assumptions'!$E$12*C51</f>
        <v>17362.7886654315</v>
      </c>
      <c r="M51" s="25" t="n">
        <f aca="false">J51*'Cover &amp; Assumptions'!$D$13*E51*'Cover &amp; Assumptions'!$E$13*C51</f>
        <v>30211.2522778508</v>
      </c>
      <c r="N51" s="25" t="n">
        <f aca="false">K51*'Cover &amp; Assumptions'!$C$11+L51*'Cover &amp; Assumptions'!$C$12+M51*'Cover &amp; Assumptions'!$C$13</f>
        <v>19906.4372049172</v>
      </c>
    </row>
    <row r="52" customFormat="false" ht="15" hidden="false" customHeight="false" outlineLevel="0" collapsed="false">
      <c r="A52" s="17" t="str">
        <f aca="false">Portfolio!A52</f>
        <v>UKSME-102170</v>
      </c>
      <c r="B52" s="17" t="str">
        <f aca="false">Portfolio!B52</f>
        <v>Construction</v>
      </c>
      <c r="C52" s="21" t="n">
        <f aca="false">Portfolio!D52</f>
        <v>167668</v>
      </c>
      <c r="D52" s="22" t="n">
        <f aca="false">Portfolio!G52</f>
        <v>0.191063555359226</v>
      </c>
      <c r="E52" s="23" t="n">
        <f aca="false">Portfolio!E52</f>
        <v>0.679</v>
      </c>
      <c r="F52" s="17" t="n">
        <f aca="false">Portfolio!F52</f>
        <v>0</v>
      </c>
      <c r="G52" s="16" t="str">
        <f aca="false">IF(OR(F52&gt;='Cover &amp; Assumptions'!$C$22,Portfolio!I52=1),"Stage 3",IF(OR(F52&gt;=30,D52&gt;'Cover &amp; Assumptions'!$C$21),"Stage 2","Stage 1"))</f>
        <v>Stage 2</v>
      </c>
      <c r="H52" s="16" t="n">
        <f aca="false">IF(G52="Stage 1",12,MIN(Portfolio!H52,60))</f>
        <v>48</v>
      </c>
      <c r="I52" s="24" t="n">
        <f aca="false">1-(1-D52)^(H52/12)</f>
        <v>0.571789208706124</v>
      </c>
      <c r="J52" s="24" t="n">
        <f aca="false">IF(G52="Stage 1",D52,I52)</f>
        <v>0.571789208706124</v>
      </c>
      <c r="K52" s="25" t="n">
        <f aca="false">J52*'Cover &amp; Assumptions'!$D$11*E52*'Cover &amp; Assumptions'!$E$11*C52</f>
        <v>52565.2148641112</v>
      </c>
      <c r="L52" s="25" t="n">
        <f aca="false">J52*'Cover &amp; Assumptions'!$D$12*E52*'Cover &amp; Assumptions'!$E$12*C52</f>
        <v>65096.2413177848</v>
      </c>
      <c r="M52" s="25" t="n">
        <f aca="false">J52*'Cover &amp; Assumptions'!$D$13*E52*'Cover &amp; Assumptions'!$E$13*C52</f>
        <v>113267.459892945</v>
      </c>
      <c r="N52" s="25" t="n">
        <f aca="false">K52*'Cover &amp; Assumptions'!$C$11+L52*'Cover &amp; Assumptions'!$C$12+M52*'Cover &amp; Assumptions'!$C$13</f>
        <v>74632.8406708402</v>
      </c>
    </row>
    <row r="53" customFormat="false" ht="15" hidden="false" customHeight="false" outlineLevel="0" collapsed="false">
      <c r="A53" s="17" t="str">
        <f aca="false">Portfolio!A53</f>
        <v>UKSME-106821</v>
      </c>
      <c r="B53" s="17" t="str">
        <f aca="false">Portfolio!B53</f>
        <v>Professional Services</v>
      </c>
      <c r="C53" s="21" t="n">
        <f aca="false">Portfolio!D53</f>
        <v>134698</v>
      </c>
      <c r="D53" s="22" t="n">
        <f aca="false">Portfolio!G53</f>
        <v>0.130516706948276</v>
      </c>
      <c r="E53" s="23" t="n">
        <f aca="false">Portfolio!E53</f>
        <v>0.254</v>
      </c>
      <c r="F53" s="17" t="n">
        <f aca="false">Portfolio!F53</f>
        <v>0</v>
      </c>
      <c r="G53" s="16" t="str">
        <f aca="false">IF(OR(F53&gt;='Cover &amp; Assumptions'!$C$22,Portfolio!I53=1),"Stage 3",IF(OR(F53&gt;=30,D53&gt;'Cover &amp; Assumptions'!$C$21),"Stage 2","Stage 1"))</f>
        <v>Stage 1</v>
      </c>
      <c r="H53" s="16" t="n">
        <f aca="false">IF(G53="Stage 1",12,MIN(Portfolio!H53,60))</f>
        <v>12</v>
      </c>
      <c r="I53" s="24" t="n">
        <f aca="false">1-(1-D53)^(H53/12)</f>
        <v>0.130516706948276</v>
      </c>
      <c r="J53" s="24" t="n">
        <f aca="false">IF(G53="Stage 1",D53,I53)</f>
        <v>0.130516706948276</v>
      </c>
      <c r="K53" s="25" t="n">
        <f aca="false">J53*'Cover &amp; Assumptions'!$D$11*E53*'Cover &amp; Assumptions'!$E$11*C53</f>
        <v>3605.81551110258</v>
      </c>
      <c r="L53" s="25" t="n">
        <f aca="false">J53*'Cover &amp; Assumptions'!$D$12*E53*'Cover &amp; Assumptions'!$E$12*C53</f>
        <v>4465.40620569979</v>
      </c>
      <c r="M53" s="25" t="n">
        <f aca="false">J53*'Cover &amp; Assumptions'!$D$13*E53*'Cover &amp; Assumptions'!$E$13*C53</f>
        <v>7769.80679791763</v>
      </c>
      <c r="N53" s="25" t="n">
        <f aca="false">K53*'Cover &amp; Assumptions'!$C$11+L53*'Cover &amp; Assumptions'!$C$12+M53*'Cover &amp; Assumptions'!$C$13</f>
        <v>5119.5882148348</v>
      </c>
    </row>
    <row r="54" customFormat="false" ht="15" hidden="false" customHeight="false" outlineLevel="0" collapsed="false">
      <c r="A54" s="17" t="str">
        <f aca="false">Portfolio!A54</f>
        <v>UKSME-107418</v>
      </c>
      <c r="B54" s="17" t="str">
        <f aca="false">Portfolio!B54</f>
        <v>Healthcare</v>
      </c>
      <c r="C54" s="21" t="n">
        <f aca="false">Portfolio!D54</f>
        <v>12115</v>
      </c>
      <c r="D54" s="22" t="n">
        <f aca="false">Portfolio!G54</f>
        <v>0.154820832936832</v>
      </c>
      <c r="E54" s="23" t="n">
        <f aca="false">Portfolio!E54</f>
        <v>0.374</v>
      </c>
      <c r="F54" s="17" t="n">
        <f aca="false">Portfolio!F54</f>
        <v>0</v>
      </c>
      <c r="G54" s="16" t="str">
        <f aca="false">IF(OR(F54&gt;='Cover &amp; Assumptions'!$C$22,Portfolio!I54=1),"Stage 3",IF(OR(F54&gt;=30,D54&gt;'Cover &amp; Assumptions'!$C$21),"Stage 2","Stage 1"))</f>
        <v>Stage 3</v>
      </c>
      <c r="H54" s="16" t="n">
        <f aca="false">IF(G54="Stage 1",12,MIN(Portfolio!H54,60))</f>
        <v>60</v>
      </c>
      <c r="I54" s="24" t="n">
        <f aca="false">1-(1-D54)^(H54/12)</f>
        <v>0.568735294007491</v>
      </c>
      <c r="J54" s="24" t="n">
        <f aca="false">IF(G54="Stage 1",D54,I54)</f>
        <v>0.568735294007491</v>
      </c>
      <c r="K54" s="25" t="n">
        <f aca="false">J54*'Cover &amp; Assumptions'!$D$11*E54*'Cover &amp; Assumptions'!$E$11*C54</f>
        <v>2080.88333338446</v>
      </c>
      <c r="L54" s="25" t="n">
        <f aca="false">J54*'Cover &amp; Assumptions'!$D$12*E54*'Cover &amp; Assumptions'!$E$12*C54</f>
        <v>2576.94530450088</v>
      </c>
      <c r="M54" s="25" t="n">
        <f aca="false">J54*'Cover &amp; Assumptions'!$D$13*E54*'Cover &amp; Assumptions'!$E$13*C54</f>
        <v>4483.88482983154</v>
      </c>
      <c r="N54" s="25" t="n">
        <f aca="false">K54*'Cover &amp; Assumptions'!$C$11+L54*'Cover &amp; Assumptions'!$C$12+M54*'Cover &amp; Assumptions'!$C$13</f>
        <v>2954.46779161026</v>
      </c>
    </row>
    <row r="55" customFormat="false" ht="15" hidden="false" customHeight="false" outlineLevel="0" collapsed="false">
      <c r="A55" s="17" t="str">
        <f aca="false">Portfolio!A55</f>
        <v>UKSME-101719</v>
      </c>
      <c r="B55" s="17" t="str">
        <f aca="false">Portfolio!B55</f>
        <v>Technology</v>
      </c>
      <c r="C55" s="21" t="n">
        <f aca="false">Portfolio!D55</f>
        <v>112835</v>
      </c>
      <c r="D55" s="22" t="n">
        <f aca="false">Portfolio!G55</f>
        <v>0.110551868678005</v>
      </c>
      <c r="E55" s="23" t="n">
        <f aca="false">Portfolio!E55</f>
        <v>0.607</v>
      </c>
      <c r="F55" s="17" t="n">
        <f aca="false">Portfolio!F55</f>
        <v>0</v>
      </c>
      <c r="G55" s="16" t="str">
        <f aca="false">IF(OR(F55&gt;='Cover &amp; Assumptions'!$C$22,Portfolio!I55=1),"Stage 3",IF(OR(F55&gt;=30,D55&gt;'Cover &amp; Assumptions'!$C$21),"Stage 2","Stage 1"))</f>
        <v>Stage 1</v>
      </c>
      <c r="H55" s="16" t="n">
        <f aca="false">IF(G55="Stage 1",12,MIN(Portfolio!H55,60))</f>
        <v>12</v>
      </c>
      <c r="I55" s="24" t="n">
        <f aca="false">1-(1-D55)^(H55/12)</f>
        <v>0.110551868678004</v>
      </c>
      <c r="J55" s="24" t="n">
        <f aca="false">IF(G55="Stage 1",D55,I55)</f>
        <v>0.110551868678005</v>
      </c>
      <c r="K55" s="25" t="n">
        <f aca="false">J55*'Cover &amp; Assumptions'!$D$11*E55*'Cover &amp; Assumptions'!$E$11*C55</f>
        <v>6114.22115343409</v>
      </c>
      <c r="L55" s="25" t="n">
        <f aca="false">J55*'Cover &amp; Assumptions'!$D$12*E55*'Cover &amp; Assumptions'!$E$12*C55</f>
        <v>7571.79090208556</v>
      </c>
      <c r="M55" s="25" t="n">
        <f aca="false">J55*'Cover &amp; Assumptions'!$D$13*E55*'Cover &amp; Assumptions'!$E$13*C55</f>
        <v>13174.9161696289</v>
      </c>
      <c r="N55" s="25" t="n">
        <f aca="false">K55*'Cover &amp; Assumptions'!$C$11+L55*'Cover &amp; Assumptions'!$C$12+M55*'Cover &amp; Assumptions'!$C$13</f>
        <v>8681.0582692411</v>
      </c>
    </row>
    <row r="56" customFormat="false" ht="15" hidden="false" customHeight="false" outlineLevel="0" collapsed="false">
      <c r="A56" s="17" t="str">
        <f aca="false">Portfolio!A56</f>
        <v>UKSME-101302</v>
      </c>
      <c r="B56" s="17" t="str">
        <f aca="false">Portfolio!B56</f>
        <v>Wholesale</v>
      </c>
      <c r="C56" s="21" t="n">
        <f aca="false">Portfolio!D56</f>
        <v>502471</v>
      </c>
      <c r="D56" s="22" t="n">
        <f aca="false">Portfolio!G56</f>
        <v>0.234346842085332</v>
      </c>
      <c r="E56" s="23" t="n">
        <f aca="false">Portfolio!E56</f>
        <v>0.226</v>
      </c>
      <c r="F56" s="17" t="n">
        <f aca="false">Portfolio!F56</f>
        <v>0</v>
      </c>
      <c r="G56" s="16" t="str">
        <f aca="false">IF(OR(F56&gt;='Cover &amp; Assumptions'!$C$22,Portfolio!I56=1),"Stage 3",IF(OR(F56&gt;=30,D56&gt;'Cover &amp; Assumptions'!$C$21),"Stage 2","Stage 1"))</f>
        <v>Stage 2</v>
      </c>
      <c r="H56" s="16" t="n">
        <f aca="false">IF(G56="Stage 1",12,MIN(Portfolio!H56,60))</f>
        <v>48</v>
      </c>
      <c r="I56" s="24" t="n">
        <f aca="false">1-(1-D56)^(H56/12)</f>
        <v>0.656340532844387</v>
      </c>
      <c r="J56" s="24" t="n">
        <f aca="false">IF(G56="Stage 1",D56,I56)</f>
        <v>0.656340532844387</v>
      </c>
      <c r="K56" s="25" t="n">
        <f aca="false">J56*'Cover &amp; Assumptions'!$D$11*E56*'Cover &amp; Assumptions'!$E$11*C56</f>
        <v>60185.4063474711</v>
      </c>
      <c r="L56" s="25" t="n">
        <f aca="false">J56*'Cover &amp; Assumptions'!$D$12*E56*'Cover &amp; Assumptions'!$E$12*C56</f>
        <v>74533.0109566205</v>
      </c>
      <c r="M56" s="25" t="n">
        <f aca="false">J56*'Cover &amp; Assumptions'!$D$13*E56*'Cover &amp; Assumptions'!$E$13*C56</f>
        <v>129687.43906452</v>
      </c>
      <c r="N56" s="25" t="n">
        <f aca="false">K56*'Cover &amp; Assumptions'!$C$11+L56*'Cover &amp; Assumptions'!$C$12+M56*'Cover &amp; Assumptions'!$C$13</f>
        <v>85452.0970617655</v>
      </c>
    </row>
    <row r="57" customFormat="false" ht="15" hidden="false" customHeight="false" outlineLevel="0" collapsed="false">
      <c r="A57" s="17" t="str">
        <f aca="false">Portfolio!A57</f>
        <v>UKSME-107827</v>
      </c>
      <c r="B57" s="17" t="str">
        <f aca="false">Portfolio!B57</f>
        <v>Construction</v>
      </c>
      <c r="C57" s="21" t="n">
        <f aca="false">Portfolio!D57</f>
        <v>100338</v>
      </c>
      <c r="D57" s="22" t="n">
        <f aca="false">Portfolio!G57</f>
        <v>0.262611548265993</v>
      </c>
      <c r="E57" s="23" t="n">
        <f aca="false">Portfolio!E57</f>
        <v>0.636</v>
      </c>
      <c r="F57" s="17" t="n">
        <f aca="false">Portfolio!F57</f>
        <v>35</v>
      </c>
      <c r="G57" s="16" t="str">
        <f aca="false">IF(OR(F57&gt;='Cover &amp; Assumptions'!$C$22,Portfolio!I57=1),"Stage 3",IF(OR(F57&gt;=30,D57&gt;'Cover &amp; Assumptions'!$C$21),"Stage 2","Stage 1"))</f>
        <v>Stage 2</v>
      </c>
      <c r="H57" s="16" t="n">
        <f aca="false">IF(G57="Stage 1",12,MIN(Portfolio!H57,60))</f>
        <v>60</v>
      </c>
      <c r="I57" s="24" t="n">
        <f aca="false">1-(1-D57)^(H57/12)</f>
        <v>0.78198736746635</v>
      </c>
      <c r="J57" s="24" t="n">
        <f aca="false">IF(G57="Stage 1",D57,I57)</f>
        <v>0.78198736746635</v>
      </c>
      <c r="K57" s="25" t="n">
        <f aca="false">J57*'Cover &amp; Assumptions'!$D$11*E57*'Cover &amp; Assumptions'!$E$11*C57</f>
        <v>40296.26780625</v>
      </c>
      <c r="L57" s="25" t="n">
        <f aca="false">J57*'Cover &amp; Assumptions'!$D$12*E57*'Cover &amp; Assumptions'!$E$12*C57</f>
        <v>49902.4988312694</v>
      </c>
      <c r="M57" s="25" t="n">
        <f aca="false">J57*'Cover &amp; Assumptions'!$D$13*E57*'Cover &amp; Assumptions'!$E$13*C57</f>
        <v>86830.3479664088</v>
      </c>
      <c r="N57" s="25" t="n">
        <f aca="false">K57*'Cover &amp; Assumptions'!$C$11+L57*'Cover &amp; Assumptions'!$C$12+M57*'Cover &amp; Assumptions'!$C$13</f>
        <v>57213.2149100504</v>
      </c>
    </row>
    <row r="58" customFormat="false" ht="15" hidden="false" customHeight="false" outlineLevel="0" collapsed="false">
      <c r="A58" s="17" t="str">
        <f aca="false">Portfolio!A58</f>
        <v>UKSME-105792</v>
      </c>
      <c r="B58" s="17" t="str">
        <f aca="false">Portfolio!B58</f>
        <v>Real Estate</v>
      </c>
      <c r="C58" s="21" t="n">
        <f aca="false">Portfolio!D58</f>
        <v>198251</v>
      </c>
      <c r="D58" s="22" t="n">
        <f aca="false">Portfolio!G58</f>
        <v>0.15284591489567</v>
      </c>
      <c r="E58" s="23" t="n">
        <f aca="false">Portfolio!E58</f>
        <v>0.305</v>
      </c>
      <c r="F58" s="17" t="n">
        <f aca="false">Portfolio!F58</f>
        <v>0</v>
      </c>
      <c r="G58" s="16" t="str">
        <f aca="false">IF(OR(F58&gt;='Cover &amp; Assumptions'!$C$22,Portfolio!I58=1),"Stage 3",IF(OR(F58&gt;=30,D58&gt;'Cover &amp; Assumptions'!$C$21),"Stage 2","Stage 1"))</f>
        <v>Stage 2</v>
      </c>
      <c r="H58" s="16" t="n">
        <f aca="false">IF(G58="Stage 1",12,MIN(Portfolio!H58,60))</f>
        <v>48</v>
      </c>
      <c r="I58" s="24" t="n">
        <f aca="false">1-(1-D58)^(H58/12)</f>
        <v>0.484949708075719</v>
      </c>
      <c r="J58" s="24" t="n">
        <f aca="false">IF(G58="Stage 1",D58,I58)</f>
        <v>0.484949708075719</v>
      </c>
      <c r="K58" s="25" t="n">
        <f aca="false">J58*'Cover &amp; Assumptions'!$D$11*E58*'Cover &amp; Assumptions'!$E$11*C58</f>
        <v>23678.5148429425</v>
      </c>
      <c r="L58" s="25" t="n">
        <f aca="false">J58*'Cover &amp; Assumptions'!$D$12*E58*'Cover &amp; Assumptions'!$E$12*C58</f>
        <v>29323.2381955944</v>
      </c>
      <c r="M58" s="25" t="n">
        <f aca="false">J58*'Cover &amp; Assumptions'!$D$13*E58*'Cover &amp; Assumptions'!$E$13*C58</f>
        <v>51022.4344603343</v>
      </c>
      <c r="N58" s="25" t="n">
        <f aca="false">K58*'Cover &amp; Assumptions'!$C$11+L58*'Cover &amp; Assumptions'!$C$12+M58*'Cover &amp; Assumptions'!$C$13</f>
        <v>33619.092591249</v>
      </c>
    </row>
    <row r="59" customFormat="false" ht="15" hidden="false" customHeight="false" outlineLevel="0" collapsed="false">
      <c r="A59" s="17" t="str">
        <f aca="false">Portfolio!A59</f>
        <v>UKSME-109925</v>
      </c>
      <c r="B59" s="17" t="str">
        <f aca="false">Portfolio!B59</f>
        <v>Technology</v>
      </c>
      <c r="C59" s="21" t="n">
        <f aca="false">Portfolio!D59</f>
        <v>23979</v>
      </c>
      <c r="D59" s="22" t="n">
        <f aca="false">Portfolio!G59</f>
        <v>0.167808226558703</v>
      </c>
      <c r="E59" s="23" t="n">
        <f aca="false">Portfolio!E59</f>
        <v>0.735</v>
      </c>
      <c r="F59" s="17" t="n">
        <f aca="false">Portfolio!F59</f>
        <v>0</v>
      </c>
      <c r="G59" s="16" t="str">
        <f aca="false">IF(OR(F59&gt;='Cover &amp; Assumptions'!$C$22,Portfolio!I59=1),"Stage 3",IF(OR(F59&gt;=30,D59&gt;'Cover &amp; Assumptions'!$C$21),"Stage 2","Stage 1"))</f>
        <v>Stage 2</v>
      </c>
      <c r="H59" s="16" t="n">
        <f aca="false">IF(G59="Stage 1",12,MIN(Portfolio!H59,60))</f>
        <v>60</v>
      </c>
      <c r="I59" s="24" t="n">
        <f aca="false">1-(1-D59)^(H59/12)</f>
        <v>0.600867500784271</v>
      </c>
      <c r="J59" s="24" t="n">
        <f aca="false">IF(G59="Stage 1",D59,I59)</f>
        <v>0.600867500784271</v>
      </c>
      <c r="K59" s="25" t="n">
        <f aca="false">J59*'Cover &amp; Assumptions'!$D$11*E59*'Cover &amp; Assumptions'!$E$11*C59</f>
        <v>8551.44787159765</v>
      </c>
      <c r="L59" s="25" t="n">
        <f aca="false">J59*'Cover &amp; Assumptions'!$D$12*E59*'Cover &amp; Assumptions'!$E$12*C59</f>
        <v>10590.0283239599</v>
      </c>
      <c r="M59" s="25" t="n">
        <f aca="false">J59*'Cover &amp; Assumptions'!$D$13*E59*'Cover &amp; Assumptions'!$E$13*C59</f>
        <v>18426.6492836903</v>
      </c>
      <c r="N59" s="25" t="n">
        <f aca="false">K59*'Cover &amp; Assumptions'!$C$11+L59*'Cover &amp; Assumptions'!$C$12+M59*'Cover &amp; Assumptions'!$C$13</f>
        <v>12141.4674734201</v>
      </c>
    </row>
    <row r="60" customFormat="false" ht="15" hidden="false" customHeight="false" outlineLevel="0" collapsed="false">
      <c r="A60" s="17" t="str">
        <f aca="false">Portfolio!A60</f>
        <v>UKSME-108337</v>
      </c>
      <c r="B60" s="17" t="str">
        <f aca="false">Portfolio!B60</f>
        <v>Retail</v>
      </c>
      <c r="C60" s="21" t="n">
        <f aca="false">Portfolio!D60</f>
        <v>18454</v>
      </c>
      <c r="D60" s="22" t="n">
        <f aca="false">Portfolio!G60</f>
        <v>0.162156524936216</v>
      </c>
      <c r="E60" s="23" t="n">
        <f aca="false">Portfolio!E60</f>
        <v>0.247</v>
      </c>
      <c r="F60" s="17" t="n">
        <f aca="false">Portfolio!F60</f>
        <v>0</v>
      </c>
      <c r="G60" s="16" t="str">
        <f aca="false">IF(OR(F60&gt;='Cover &amp; Assumptions'!$C$22,Portfolio!I60=1),"Stage 3",IF(OR(F60&gt;=30,D60&gt;'Cover &amp; Assumptions'!$C$21),"Stage 2","Stage 1"))</f>
        <v>Stage 2</v>
      </c>
      <c r="H60" s="16" t="n">
        <f aca="false">IF(G60="Stage 1",12,MIN(Portfolio!H60,60))</f>
        <v>60</v>
      </c>
      <c r="I60" s="24" t="n">
        <f aca="false">1-(1-D60)^(H60/12)</f>
        <v>0.587128923998079</v>
      </c>
      <c r="J60" s="24" t="n">
        <f aca="false">IF(G60="Stage 1",D60,I60)</f>
        <v>0.587128923998079</v>
      </c>
      <c r="K60" s="25" t="n">
        <f aca="false">J60*'Cover &amp; Assumptions'!$D$11*E60*'Cover &amp; Assumptions'!$E$11*C60</f>
        <v>2161.04333744511</v>
      </c>
      <c r="L60" s="25" t="n">
        <f aca="false">J60*'Cover &amp; Assumptions'!$D$12*E60*'Cover &amp; Assumptions'!$E$12*C60</f>
        <v>2676.21465937476</v>
      </c>
      <c r="M60" s="25" t="n">
        <f aca="false">J60*'Cover &amp; Assumptions'!$D$13*E60*'Cover &amp; Assumptions'!$E$13*C60</f>
        <v>4656.61350731207</v>
      </c>
      <c r="N60" s="25" t="n">
        <f aca="false">K60*'Cover &amp; Assumptions'!$C$11+L60*'Cover &amp; Assumptions'!$C$12+M60*'Cover &amp; Assumptions'!$C$13</f>
        <v>3068.28010697316</v>
      </c>
    </row>
    <row r="61" customFormat="false" ht="15" hidden="false" customHeight="false" outlineLevel="0" collapsed="false">
      <c r="A61" s="17" t="str">
        <f aca="false">Portfolio!A61</f>
        <v>UKSME-103435</v>
      </c>
      <c r="B61" s="17" t="str">
        <f aca="false">Portfolio!B61</f>
        <v>Technology</v>
      </c>
      <c r="C61" s="21" t="n">
        <f aca="false">Portfolio!D61</f>
        <v>170814</v>
      </c>
      <c r="D61" s="22" t="n">
        <f aca="false">Portfolio!G61</f>
        <v>0.155281580502944</v>
      </c>
      <c r="E61" s="23" t="n">
        <f aca="false">Portfolio!E61</f>
        <v>0.349</v>
      </c>
      <c r="F61" s="17" t="n">
        <f aca="false">Portfolio!F61</f>
        <v>0</v>
      </c>
      <c r="G61" s="16" t="str">
        <f aca="false">IF(OR(F61&gt;='Cover &amp; Assumptions'!$C$22,Portfolio!I61=1),"Stage 3",IF(OR(F61&gt;=30,D61&gt;'Cover &amp; Assumptions'!$C$21),"Stage 2","Stage 1"))</f>
        <v>Stage 2</v>
      </c>
      <c r="H61" s="16" t="n">
        <f aca="false">IF(G61="Stage 1",12,MIN(Portfolio!H61,60))</f>
        <v>60</v>
      </c>
      <c r="I61" s="24" t="n">
        <f aca="false">1-(1-D61)^(H61/12)</f>
        <v>0.569909528082152</v>
      </c>
      <c r="J61" s="24" t="n">
        <f aca="false">IF(G61="Stage 1",D61,I61)</f>
        <v>0.569909528082152</v>
      </c>
      <c r="K61" s="25" t="n">
        <f aca="false">J61*'Cover &amp; Assumptions'!$D$11*E61*'Cover &amp; Assumptions'!$E$11*C61</f>
        <v>27434.5182625919</v>
      </c>
      <c r="L61" s="25" t="n">
        <f aca="false">J61*'Cover &amp; Assumptions'!$D$12*E61*'Cover &amp; Assumptions'!$E$12*C61</f>
        <v>33974.6356193088</v>
      </c>
      <c r="M61" s="25" t="n">
        <f aca="false">J61*'Cover &amp; Assumptions'!$D$13*E61*'Cover &amp; Assumptions'!$E$13*C61</f>
        <v>59115.8659775973</v>
      </c>
      <c r="N61" s="25" t="n">
        <f aca="false">K61*'Cover &amp; Assumptions'!$C$11+L61*'Cover &amp; Assumptions'!$C$12+M61*'Cover &amp; Assumptions'!$C$13</f>
        <v>38951.9197375375</v>
      </c>
    </row>
    <row r="62" customFormat="false" ht="15" hidden="false" customHeight="false" outlineLevel="0" collapsed="false">
      <c r="A62" s="17" t="str">
        <f aca="false">Portfolio!A62</f>
        <v>UKSME-103656</v>
      </c>
      <c r="B62" s="17" t="str">
        <f aca="false">Portfolio!B62</f>
        <v>Technology</v>
      </c>
      <c r="C62" s="21" t="n">
        <f aca="false">Portfolio!D62</f>
        <v>72122</v>
      </c>
      <c r="D62" s="22" t="n">
        <f aca="false">Portfolio!G62</f>
        <v>0.167658102269075</v>
      </c>
      <c r="E62" s="23" t="n">
        <f aca="false">Portfolio!E62</f>
        <v>0.157</v>
      </c>
      <c r="F62" s="17" t="n">
        <f aca="false">Portfolio!F62</f>
        <v>0</v>
      </c>
      <c r="G62" s="16" t="str">
        <f aca="false">IF(OR(F62&gt;='Cover &amp; Assumptions'!$C$22,Portfolio!I62=1),"Stage 3",IF(OR(F62&gt;=30,D62&gt;'Cover &amp; Assumptions'!$C$21),"Stage 2","Stage 1"))</f>
        <v>Stage 2</v>
      </c>
      <c r="H62" s="16" t="n">
        <f aca="false">IF(G62="Stage 1",12,MIN(Portfolio!H62,60))</f>
        <v>60</v>
      </c>
      <c r="I62" s="24" t="n">
        <f aca="false">1-(1-D62)^(H62/12)</f>
        <v>0.600507360806759</v>
      </c>
      <c r="J62" s="24" t="n">
        <f aca="false">IF(G62="Stage 1",D62,I62)</f>
        <v>0.600507360806759</v>
      </c>
      <c r="K62" s="25" t="n">
        <f aca="false">J62*'Cover &amp; Assumptions'!$D$11*E62*'Cover &amp; Assumptions'!$E$11*C62</f>
        <v>5490.70713957291</v>
      </c>
      <c r="L62" s="25" t="n">
        <f aca="false">J62*'Cover &amp; Assumptions'!$D$12*E62*'Cover &amp; Assumptions'!$E$12*C62</f>
        <v>6799.6373245485</v>
      </c>
      <c r="M62" s="25" t="n">
        <f aca="false">J62*'Cover &amp; Assumptions'!$D$13*E62*'Cover &amp; Assumptions'!$E$13*C62</f>
        <v>11831.3689447144</v>
      </c>
      <c r="N62" s="25" t="n">
        <f aca="false">K62*'Cover &amp; Assumptions'!$C$11+L62*'Cover &amp; Assumptions'!$C$12+M62*'Cover &amp; Assumptions'!$C$13</f>
        <v>7795.78419259485</v>
      </c>
    </row>
    <row r="63" customFormat="false" ht="15" hidden="false" customHeight="false" outlineLevel="0" collapsed="false">
      <c r="A63" s="17" t="str">
        <f aca="false">Portfolio!A63</f>
        <v>UKSME-105548</v>
      </c>
      <c r="B63" s="17" t="str">
        <f aca="false">Portfolio!B63</f>
        <v>Manufacturing</v>
      </c>
      <c r="C63" s="21" t="n">
        <f aca="false">Portfolio!D63</f>
        <v>31970</v>
      </c>
      <c r="D63" s="22" t="n">
        <f aca="false">Portfolio!G63</f>
        <v>0.111862179370863</v>
      </c>
      <c r="E63" s="23" t="n">
        <f aca="false">Portfolio!E63</f>
        <v>0.273</v>
      </c>
      <c r="F63" s="17" t="n">
        <f aca="false">Portfolio!F63</f>
        <v>0</v>
      </c>
      <c r="G63" s="16" t="str">
        <f aca="false">IF(OR(F63&gt;='Cover &amp; Assumptions'!$C$22,Portfolio!I63=1),"Stage 3",IF(OR(F63&gt;=30,D63&gt;'Cover &amp; Assumptions'!$C$21),"Stage 2","Stage 1"))</f>
        <v>Stage 1</v>
      </c>
      <c r="H63" s="16" t="n">
        <f aca="false">IF(G63="Stage 1",12,MIN(Portfolio!H63,60))</f>
        <v>12</v>
      </c>
      <c r="I63" s="24" t="n">
        <f aca="false">1-(1-D63)^(H63/12)</f>
        <v>0.111862179370863</v>
      </c>
      <c r="J63" s="24" t="n">
        <f aca="false">IF(G63="Stage 1",D63,I63)</f>
        <v>0.111862179370863</v>
      </c>
      <c r="K63" s="25" t="n">
        <f aca="false">J63*'Cover &amp; Assumptions'!$D$11*E63*'Cover &amp; Assumptions'!$E$11*C63</f>
        <v>788.371817045863</v>
      </c>
      <c r="L63" s="25" t="n">
        <f aca="false">J63*'Cover &amp; Assumptions'!$D$12*E63*'Cover &amp; Assumptions'!$E$12*C63</f>
        <v>976.311847734815</v>
      </c>
      <c r="M63" s="25" t="n">
        <f aca="false">J63*'Cover &amp; Assumptions'!$D$13*E63*'Cover &amp; Assumptions'!$E$13*C63</f>
        <v>1698.78261505858</v>
      </c>
      <c r="N63" s="25" t="n">
        <f aca="false">K63*'Cover &amp; Assumptions'!$C$11+L63*'Cover &amp; Assumptions'!$C$12+M63*'Cover &amp; Assumptions'!$C$13</f>
        <v>1119.34153342796</v>
      </c>
    </row>
    <row r="64" customFormat="false" ht="15" hidden="false" customHeight="false" outlineLevel="0" collapsed="false">
      <c r="A64" s="17" t="str">
        <f aca="false">Portfolio!A64</f>
        <v>UKSME-100065</v>
      </c>
      <c r="B64" s="17" t="str">
        <f aca="false">Portfolio!B64</f>
        <v>Transport</v>
      </c>
      <c r="C64" s="21" t="n">
        <f aca="false">Portfolio!D64</f>
        <v>30986</v>
      </c>
      <c r="D64" s="22" t="n">
        <f aca="false">Portfolio!G64</f>
        <v>0.322449814484095</v>
      </c>
      <c r="E64" s="23" t="n">
        <f aca="false">Portfolio!E64</f>
        <v>0.128</v>
      </c>
      <c r="F64" s="17" t="n">
        <f aca="false">Portfolio!F64</f>
        <v>65</v>
      </c>
      <c r="G64" s="16" t="str">
        <f aca="false">IF(OR(F64&gt;='Cover &amp; Assumptions'!$C$22,Portfolio!I64=1),"Stage 3",IF(OR(F64&gt;=30,D64&gt;'Cover &amp; Assumptions'!$C$21),"Stage 2","Stage 1"))</f>
        <v>Stage 2</v>
      </c>
      <c r="H64" s="16" t="n">
        <f aca="false">IF(G64="Stage 1",12,MIN(Portfolio!H64,60))</f>
        <v>48</v>
      </c>
      <c r="I64" s="24" t="n">
        <f aca="false">1-(1-D64)^(H64/12)</f>
        <v>0.789250829412918</v>
      </c>
      <c r="J64" s="24" t="n">
        <f aca="false">IF(G64="Stage 1",D64,I64)</f>
        <v>0.789250829412918</v>
      </c>
      <c r="K64" s="25" t="n">
        <f aca="false">J64*'Cover &amp; Assumptions'!$D$11*E64*'Cover &amp; Assumptions'!$E$11*C64</f>
        <v>2527.7438600515</v>
      </c>
      <c r="L64" s="25" t="n">
        <f aca="false">J64*'Cover &amp; Assumptions'!$D$12*E64*'Cover &amp; Assumptions'!$E$12*C64</f>
        <v>3130.33295362415</v>
      </c>
      <c r="M64" s="25" t="n">
        <f aca="false">J64*'Cover &amp; Assumptions'!$D$13*E64*'Cover &amp; Assumptions'!$E$13*C64</f>
        <v>5446.77933930602</v>
      </c>
      <c r="N64" s="25" t="n">
        <f aca="false">K64*'Cover &amp; Assumptions'!$C$11+L64*'Cover &amp; Assumptions'!$C$12+M64*'Cover &amp; Assumptions'!$C$13</f>
        <v>3588.92673133009</v>
      </c>
    </row>
    <row r="65" customFormat="false" ht="15" hidden="false" customHeight="false" outlineLevel="0" collapsed="false">
      <c r="A65" s="17" t="str">
        <f aca="false">Portfolio!A65</f>
        <v>UKSME-102417</v>
      </c>
      <c r="B65" s="17" t="str">
        <f aca="false">Portfolio!B65</f>
        <v>Real Estate</v>
      </c>
      <c r="C65" s="21" t="n">
        <f aca="false">Portfolio!D65</f>
        <v>36249</v>
      </c>
      <c r="D65" s="22" t="n">
        <f aca="false">Portfolio!G65</f>
        <v>0.345354308405709</v>
      </c>
      <c r="E65" s="23" t="n">
        <f aca="false">Portfolio!E65</f>
        <v>0.05</v>
      </c>
      <c r="F65" s="17" t="n">
        <f aca="false">Portfolio!F65</f>
        <v>15</v>
      </c>
      <c r="G65" s="16" t="str">
        <f aca="false">IF(OR(F65&gt;='Cover &amp; Assumptions'!$C$22,Portfolio!I65=1),"Stage 3",IF(OR(F65&gt;=30,D65&gt;'Cover &amp; Assumptions'!$C$21),"Stage 2","Stage 1"))</f>
        <v>Stage 3</v>
      </c>
      <c r="H65" s="16" t="n">
        <f aca="false">IF(G65="Stage 1",12,MIN(Portfolio!H65,60))</f>
        <v>36</v>
      </c>
      <c r="I65" s="24" t="n">
        <f aca="false">1-(1-D65)^(H65/12)</f>
        <v>0.719444399860568</v>
      </c>
      <c r="J65" s="24" t="n">
        <f aca="false">IF(G65="Stage 1",D65,I65)</f>
        <v>0.719444399860568</v>
      </c>
      <c r="K65" s="25" t="n">
        <f aca="false">J65*'Cover &amp; Assumptions'!$D$11*E65*'Cover &amp; Assumptions'!$E$11*C65</f>
        <v>1052.94527954078</v>
      </c>
      <c r="L65" s="25" t="n">
        <f aca="false">J65*'Cover &amp; Assumptions'!$D$12*E65*'Cover &amp; Assumptions'!$E$12*C65</f>
        <v>1303.95700252729</v>
      </c>
      <c r="M65" s="25" t="n">
        <f aca="false">J65*'Cover &amp; Assumptions'!$D$13*E65*'Cover &amp; Assumptions'!$E$13*C65</f>
        <v>2268.88518439748</v>
      </c>
      <c r="N65" s="25" t="n">
        <f aca="false">K65*'Cover &amp; Assumptions'!$C$11+L65*'Cover &amp; Assumptions'!$C$12+M65*'Cover &amp; Assumptions'!$C$13</f>
        <v>1494.98670339753</v>
      </c>
    </row>
    <row r="66" customFormat="false" ht="15" hidden="false" customHeight="false" outlineLevel="0" collapsed="false">
      <c r="A66" s="17" t="str">
        <f aca="false">Portfolio!A66</f>
        <v>UKSME-103692</v>
      </c>
      <c r="B66" s="17" t="str">
        <f aca="false">Portfolio!B66</f>
        <v>Real Estate</v>
      </c>
      <c r="C66" s="21" t="n">
        <f aca="false">Portfolio!D66</f>
        <v>43470</v>
      </c>
      <c r="D66" s="22" t="n">
        <f aca="false">Portfolio!G66</f>
        <v>0.352840766216496</v>
      </c>
      <c r="E66" s="23" t="n">
        <f aca="false">Portfolio!E66</f>
        <v>0.49</v>
      </c>
      <c r="F66" s="17" t="n">
        <f aca="false">Portfolio!F66</f>
        <v>65</v>
      </c>
      <c r="G66" s="16" t="str">
        <f aca="false">IF(OR(F66&gt;='Cover &amp; Assumptions'!$C$22,Portfolio!I66=1),"Stage 3",IF(OR(F66&gt;=30,D66&gt;'Cover &amp; Assumptions'!$C$21),"Stage 2","Stage 1"))</f>
        <v>Stage 2</v>
      </c>
      <c r="H66" s="16" t="n">
        <f aca="false">IF(G66="Stage 1",12,MIN(Portfolio!H66,60))</f>
        <v>60</v>
      </c>
      <c r="I66" s="24" t="n">
        <f aca="false">1-(1-D66)^(H66/12)</f>
        <v>0.886484344660592</v>
      </c>
      <c r="J66" s="24" t="n">
        <f aca="false">IF(G66="Stage 1",D66,I66)</f>
        <v>0.886484344660592</v>
      </c>
      <c r="K66" s="25" t="n">
        <f aca="false">J66*'Cover &amp; Assumptions'!$D$11*E66*'Cover &amp; Assumptions'!$E$11*C66</f>
        <v>15247.5238579085</v>
      </c>
      <c r="L66" s="25" t="n">
        <f aca="false">J66*'Cover &amp; Assumptions'!$D$12*E66*'Cover &amp; Assumptions'!$E$12*C66</f>
        <v>18882.382486574</v>
      </c>
      <c r="M66" s="25" t="n">
        <f aca="false">J66*'Cover &amp; Assumptions'!$D$13*E66*'Cover &amp; Assumptions'!$E$13*C66</f>
        <v>32855.3455266388</v>
      </c>
      <c r="N66" s="25" t="n">
        <f aca="false">K66*'Cover &amp; Assumptions'!$C$11+L66*'Cover &amp; Assumptions'!$C$12+M66*'Cover &amp; Assumptions'!$C$13</f>
        <v>21648.6515208571</v>
      </c>
    </row>
    <row r="67" customFormat="false" ht="15" hidden="false" customHeight="false" outlineLevel="0" collapsed="false">
      <c r="A67" s="17" t="str">
        <f aca="false">Portfolio!A67</f>
        <v>UKSME-103999</v>
      </c>
      <c r="B67" s="17" t="str">
        <f aca="false">Portfolio!B67</f>
        <v>Construction</v>
      </c>
      <c r="C67" s="21" t="n">
        <f aca="false">Portfolio!D67</f>
        <v>140337</v>
      </c>
      <c r="D67" s="22" t="n">
        <f aca="false">Portfolio!G67</f>
        <v>0.107690904314307</v>
      </c>
      <c r="E67" s="23" t="n">
        <f aca="false">Portfolio!E67</f>
        <v>0.319</v>
      </c>
      <c r="F67" s="17" t="n">
        <f aca="false">Portfolio!F67</f>
        <v>0</v>
      </c>
      <c r="G67" s="16" t="str">
        <f aca="false">IF(OR(F67&gt;='Cover &amp; Assumptions'!$C$22,Portfolio!I67=1),"Stage 3",IF(OR(F67&gt;=30,D67&gt;'Cover &amp; Assumptions'!$C$21),"Stage 2","Stage 1"))</f>
        <v>Stage 1</v>
      </c>
      <c r="H67" s="16" t="n">
        <f aca="false">IF(G67="Stage 1",12,MIN(Portfolio!H67,60))</f>
        <v>12</v>
      </c>
      <c r="I67" s="24" t="n">
        <f aca="false">1-(1-D67)^(H67/12)</f>
        <v>0.107690904314307</v>
      </c>
      <c r="J67" s="24" t="n">
        <f aca="false">IF(G67="Stage 1",D67,I67)</f>
        <v>0.107690904314307</v>
      </c>
      <c r="K67" s="25" t="n">
        <f aca="false">J67*'Cover &amp; Assumptions'!$D$11*E67*'Cover &amp; Assumptions'!$E$11*C67</f>
        <v>3893.00020218549</v>
      </c>
      <c r="L67" s="25" t="n">
        <f aca="false">J67*'Cover &amp; Assumptions'!$D$12*E67*'Cover &amp; Assumptions'!$E$12*C67</f>
        <v>4821.05288196346</v>
      </c>
      <c r="M67" s="25" t="n">
        <f aca="false">J67*'Cover &amp; Assumptions'!$D$13*E67*'Cover &amp; Assumptions'!$E$13*C67</f>
        <v>8388.63201461642</v>
      </c>
      <c r="N67" s="25" t="n">
        <f aca="false">K67*'Cover &amp; Assumptions'!$C$11+L67*'Cover &amp; Assumptions'!$C$12+M67*'Cover &amp; Assumptions'!$C$13</f>
        <v>5527.33712917111</v>
      </c>
    </row>
    <row r="68" customFormat="false" ht="15" hidden="false" customHeight="false" outlineLevel="0" collapsed="false">
      <c r="A68" s="17" t="str">
        <f aca="false">Portfolio!A68</f>
        <v>UKSME-105497</v>
      </c>
      <c r="B68" s="17" t="str">
        <f aca="false">Portfolio!B68</f>
        <v>Construction</v>
      </c>
      <c r="C68" s="21" t="n">
        <f aca="false">Portfolio!D68</f>
        <v>32595</v>
      </c>
      <c r="D68" s="22" t="n">
        <f aca="false">Portfolio!G68</f>
        <v>0.238908385084914</v>
      </c>
      <c r="E68" s="23" t="n">
        <f aca="false">Portfolio!E68</f>
        <v>0.658</v>
      </c>
      <c r="F68" s="17" t="n">
        <f aca="false">Portfolio!F68</f>
        <v>35</v>
      </c>
      <c r="G68" s="16" t="str">
        <f aca="false">IF(OR(F68&gt;='Cover &amp; Assumptions'!$C$22,Portfolio!I68=1),"Stage 3",IF(OR(F68&gt;=30,D68&gt;'Cover &amp; Assumptions'!$C$21),"Stage 2","Stage 1"))</f>
        <v>Stage 3</v>
      </c>
      <c r="H68" s="16" t="n">
        <f aca="false">IF(G68="Stage 1",12,MIN(Portfolio!H68,60))</f>
        <v>60</v>
      </c>
      <c r="I68" s="24" t="n">
        <f aca="false">1-(1-D68)^(H68/12)</f>
        <v>0.744621291495634</v>
      </c>
      <c r="J68" s="24" t="n">
        <f aca="false">IF(G68="Stage 1",D68,I68)</f>
        <v>0.744621291495634</v>
      </c>
      <c r="K68" s="25" t="n">
        <f aca="false">J68*'Cover &amp; Assumptions'!$D$11*E68*'Cover &amp; Assumptions'!$E$11*C68</f>
        <v>12895.9951209192</v>
      </c>
      <c r="L68" s="25" t="n">
        <f aca="false">J68*'Cover &amp; Assumptions'!$D$12*E68*'Cover &amp; Assumptions'!$E$12*C68</f>
        <v>15970.2725955655</v>
      </c>
      <c r="M68" s="25" t="n">
        <f aca="false">J68*'Cover &amp; Assumptions'!$D$13*E68*'Cover &amp; Assumptions'!$E$13*C68</f>
        <v>27788.274316284</v>
      </c>
      <c r="N68" s="25" t="n">
        <f aca="false">K68*'Cover &amp; Assumptions'!$C$11+L68*'Cover &amp; Assumptions'!$C$12+M68*'Cover &amp; Assumptions'!$C$13</f>
        <v>18309.9175308159</v>
      </c>
    </row>
    <row r="69" customFormat="false" ht="15" hidden="false" customHeight="false" outlineLevel="0" collapsed="false">
      <c r="A69" s="17" t="str">
        <f aca="false">Portfolio!A69</f>
        <v>UKSME-100438</v>
      </c>
      <c r="B69" s="17" t="str">
        <f aca="false">Portfolio!B69</f>
        <v>Real Estate</v>
      </c>
      <c r="C69" s="21" t="n">
        <f aca="false">Portfolio!D69</f>
        <v>72322</v>
      </c>
      <c r="D69" s="22" t="n">
        <f aca="false">Portfolio!G69</f>
        <v>0.222502284404636</v>
      </c>
      <c r="E69" s="23" t="n">
        <f aca="false">Portfolio!E69</f>
        <v>0.331</v>
      </c>
      <c r="F69" s="17" t="n">
        <f aca="false">Portfolio!F69</f>
        <v>0</v>
      </c>
      <c r="G69" s="16" t="str">
        <f aca="false">IF(OR(F69&gt;='Cover &amp; Assumptions'!$C$22,Portfolio!I69=1),"Stage 3",IF(OR(F69&gt;=30,D69&gt;'Cover &amp; Assumptions'!$C$21),"Stage 2","Stage 1"))</f>
        <v>Stage 2</v>
      </c>
      <c r="H69" s="16" t="n">
        <f aca="false">IF(G69="Stage 1",12,MIN(Portfolio!H69,60))</f>
        <v>36</v>
      </c>
      <c r="I69" s="24" t="n">
        <f aca="false">1-(1-D69)^(H69/12)</f>
        <v>0.530000533423468</v>
      </c>
      <c r="J69" s="24" t="n">
        <f aca="false">IF(G69="Stage 1",D69,I69)</f>
        <v>0.530000533423468</v>
      </c>
      <c r="K69" s="25" t="n">
        <f aca="false">J69*'Cover &amp; Assumptions'!$D$11*E69*'Cover &amp; Assumptions'!$E$11*C69</f>
        <v>10245.1249427417</v>
      </c>
      <c r="L69" s="25" t="n">
        <f aca="false">J69*'Cover &amp; Assumptions'!$D$12*E69*'Cover &amp; Assumptions'!$E$12*C69</f>
        <v>12687.4612294014</v>
      </c>
      <c r="M69" s="25" t="n">
        <f aca="false">J69*'Cover &amp; Assumptions'!$D$13*E69*'Cover &amp; Assumptions'!$E$13*C69</f>
        <v>22076.1825391585</v>
      </c>
      <c r="N69" s="25" t="n">
        <f aca="false">K69*'Cover &amp; Assumptions'!$C$11+L69*'Cover &amp; Assumptions'!$C$12+M69*'Cover &amp; Assumptions'!$C$13</f>
        <v>14546.1742995087</v>
      </c>
    </row>
    <row r="70" customFormat="false" ht="15" hidden="false" customHeight="false" outlineLevel="0" collapsed="false">
      <c r="A70" s="17" t="str">
        <f aca="false">Portfolio!A70</f>
        <v>UKSME-103566</v>
      </c>
      <c r="B70" s="17" t="str">
        <f aca="false">Portfolio!B70</f>
        <v>Professional Services</v>
      </c>
      <c r="C70" s="21" t="n">
        <f aca="false">Portfolio!D70</f>
        <v>38820</v>
      </c>
      <c r="D70" s="22" t="n">
        <f aca="false">Portfolio!G70</f>
        <v>0.001</v>
      </c>
      <c r="E70" s="23" t="n">
        <f aca="false">Portfolio!E70</f>
        <v>0.272</v>
      </c>
      <c r="F70" s="17" t="n">
        <f aca="false">Portfolio!F70</f>
        <v>0</v>
      </c>
      <c r="G70" s="16" t="str">
        <f aca="false">IF(OR(F70&gt;='Cover &amp; Assumptions'!$C$22,Portfolio!I70=1),"Stage 3",IF(OR(F70&gt;=30,D70&gt;'Cover &amp; Assumptions'!$C$21),"Stage 2","Stage 1"))</f>
        <v>Stage 1</v>
      </c>
      <c r="H70" s="16" t="n">
        <f aca="false">IF(G70="Stage 1",12,MIN(Portfolio!H70,60))</f>
        <v>12</v>
      </c>
      <c r="I70" s="24" t="n">
        <f aca="false">1-(1-D70)^(H70/12)</f>
        <v>0.001</v>
      </c>
      <c r="J70" s="24" t="n">
        <f aca="false">IF(G70="Stage 1",D70,I70)</f>
        <v>0.001</v>
      </c>
      <c r="K70" s="25" t="n">
        <f aca="false">J70*'Cover &amp; Assumptions'!$D$11*E70*'Cover &amp; Assumptions'!$E$11*C70</f>
        <v>8.5264248</v>
      </c>
      <c r="L70" s="25" t="n">
        <f aca="false">J70*'Cover &amp; Assumptions'!$D$12*E70*'Cover &amp; Assumptions'!$E$12*C70</f>
        <v>10.55904</v>
      </c>
      <c r="M70" s="25" t="n">
        <f aca="false">J70*'Cover &amp; Assumptions'!$D$13*E70*'Cover &amp; Assumptions'!$E$13*C70</f>
        <v>18.3727296</v>
      </c>
      <c r="N70" s="25" t="n">
        <f aca="false">K70*'Cover &amp; Assumptions'!$C$11+L70*'Cover &amp; Assumptions'!$C$12+M70*'Cover &amp; Assumptions'!$C$13</f>
        <v>12.10593936</v>
      </c>
    </row>
    <row r="71" customFormat="false" ht="15" hidden="false" customHeight="false" outlineLevel="0" collapsed="false">
      <c r="A71" s="17" t="str">
        <f aca="false">Portfolio!A71</f>
        <v>UKSME-106931</v>
      </c>
      <c r="B71" s="17" t="str">
        <f aca="false">Portfolio!B71</f>
        <v>Transport</v>
      </c>
      <c r="C71" s="21" t="n">
        <f aca="false">Portfolio!D71</f>
        <v>47984</v>
      </c>
      <c r="D71" s="22" t="n">
        <f aca="false">Portfolio!G71</f>
        <v>0.0128522168241524</v>
      </c>
      <c r="E71" s="23" t="n">
        <f aca="false">Portfolio!E71</f>
        <v>0.734</v>
      </c>
      <c r="F71" s="17" t="n">
        <f aca="false">Portfolio!F71</f>
        <v>0</v>
      </c>
      <c r="G71" s="16" t="str">
        <f aca="false">IF(OR(F71&gt;='Cover &amp; Assumptions'!$C$22,Portfolio!I71=1),"Stage 3",IF(OR(F71&gt;=30,D71&gt;'Cover &amp; Assumptions'!$C$21),"Stage 2","Stage 1"))</f>
        <v>Stage 1</v>
      </c>
      <c r="H71" s="16" t="n">
        <f aca="false">IF(G71="Stage 1",12,MIN(Portfolio!H71,60))</f>
        <v>12</v>
      </c>
      <c r="I71" s="24" t="n">
        <f aca="false">1-(1-D71)^(H71/12)</f>
        <v>0.0128522168241524</v>
      </c>
      <c r="J71" s="24" t="n">
        <f aca="false">IF(G71="Stage 1",D71,I71)</f>
        <v>0.0128522168241524</v>
      </c>
      <c r="K71" s="25" t="n">
        <f aca="false">J71*'Cover &amp; Assumptions'!$D$11*E71*'Cover &amp; Assumptions'!$E$11*C71</f>
        <v>365.52163112168</v>
      </c>
      <c r="L71" s="25" t="n">
        <f aca="false">J71*'Cover &amp; Assumptions'!$D$12*E71*'Cover &amp; Assumptions'!$E$12*C71</f>
        <v>452.658366714155</v>
      </c>
      <c r="M71" s="25" t="n">
        <f aca="false">J71*'Cover &amp; Assumptions'!$D$13*E71*'Cover &amp; Assumptions'!$E$13*C71</f>
        <v>787.625558082629</v>
      </c>
      <c r="N71" s="25" t="n">
        <f aca="false">K71*'Cover &amp; Assumptions'!$C$11+L71*'Cover &amp; Assumptions'!$C$12+M71*'Cover &amp; Assumptions'!$C$13</f>
        <v>518.972817437778</v>
      </c>
    </row>
    <row r="72" customFormat="false" ht="15" hidden="false" customHeight="false" outlineLevel="0" collapsed="false">
      <c r="A72" s="17" t="str">
        <f aca="false">Portfolio!A72</f>
        <v>UKSME-101818</v>
      </c>
      <c r="B72" s="17" t="str">
        <f aca="false">Portfolio!B72</f>
        <v>Professional Services</v>
      </c>
      <c r="C72" s="21" t="n">
        <f aca="false">Portfolio!D72</f>
        <v>14691</v>
      </c>
      <c r="D72" s="22" t="n">
        <f aca="false">Portfolio!G72</f>
        <v>0.129975016538555</v>
      </c>
      <c r="E72" s="23" t="n">
        <f aca="false">Portfolio!E72</f>
        <v>0.152</v>
      </c>
      <c r="F72" s="17" t="n">
        <f aca="false">Portfolio!F72</f>
        <v>0</v>
      </c>
      <c r="G72" s="16" t="str">
        <f aca="false">IF(OR(F72&gt;='Cover &amp; Assumptions'!$C$22,Portfolio!I72=1),"Stage 3",IF(OR(F72&gt;=30,D72&gt;'Cover &amp; Assumptions'!$C$21),"Stage 2","Stage 1"))</f>
        <v>Stage 1</v>
      </c>
      <c r="H72" s="16" t="n">
        <f aca="false">IF(G72="Stage 1",12,MIN(Portfolio!H72,60))</f>
        <v>12</v>
      </c>
      <c r="I72" s="24" t="n">
        <f aca="false">1-(1-D72)^(H72/12)</f>
        <v>0.129975016538555</v>
      </c>
      <c r="J72" s="24" t="n">
        <f aca="false">IF(G72="Stage 1",D72,I72)</f>
        <v>0.129975016538555</v>
      </c>
      <c r="K72" s="25" t="n">
        <f aca="false">J72*'Cover &amp; Assumptions'!$D$11*E72*'Cover &amp; Assumptions'!$E$11*C72</f>
        <v>234.367484688381</v>
      </c>
      <c r="L72" s="25" t="n">
        <f aca="false">J72*'Cover &amp; Assumptions'!$D$12*E72*'Cover &amp; Assumptions'!$E$12*C72</f>
        <v>290.238371131122</v>
      </c>
      <c r="M72" s="25" t="n">
        <f aca="false">J72*'Cover &amp; Assumptions'!$D$13*E72*'Cover &amp; Assumptions'!$E$13*C72</f>
        <v>505.014765768153</v>
      </c>
      <c r="N72" s="25" t="n">
        <f aca="false">K72*'Cover &amp; Assumptions'!$C$11+L72*'Cover &amp; Assumptions'!$C$12+M72*'Cover &amp; Assumptions'!$C$13</f>
        <v>332.758292501832</v>
      </c>
    </row>
    <row r="73" customFormat="false" ht="15" hidden="false" customHeight="false" outlineLevel="0" collapsed="false">
      <c r="A73" s="17" t="str">
        <f aca="false">Portfolio!A73</f>
        <v>UKSME-103605</v>
      </c>
      <c r="B73" s="17" t="str">
        <f aca="false">Portfolio!B73</f>
        <v>Real Estate</v>
      </c>
      <c r="C73" s="21" t="n">
        <f aca="false">Portfolio!D73</f>
        <v>24895</v>
      </c>
      <c r="D73" s="22" t="n">
        <f aca="false">Portfolio!G73</f>
        <v>0.16088843958015</v>
      </c>
      <c r="E73" s="23" t="n">
        <f aca="false">Portfolio!E73</f>
        <v>0.1</v>
      </c>
      <c r="F73" s="17" t="n">
        <f aca="false">Portfolio!F73</f>
        <v>0</v>
      </c>
      <c r="G73" s="16" t="str">
        <f aca="false">IF(OR(F73&gt;='Cover &amp; Assumptions'!$C$22,Portfolio!I73=1),"Stage 3",IF(OR(F73&gt;=30,D73&gt;'Cover &amp; Assumptions'!$C$21),"Stage 2","Stage 1"))</f>
        <v>Stage 2</v>
      </c>
      <c r="H73" s="16" t="n">
        <f aca="false">IF(G73="Stage 1",12,MIN(Portfolio!H73,60))</f>
        <v>60</v>
      </c>
      <c r="I73" s="24" t="n">
        <f aca="false">1-(1-D73)^(H73/12)</f>
        <v>0.583995027295581</v>
      </c>
      <c r="J73" s="24" t="n">
        <f aca="false">IF(G73="Stage 1",D73,I73)</f>
        <v>0.583995027295581</v>
      </c>
      <c r="K73" s="25" t="n">
        <f aca="false">J73*'Cover &amp; Assumptions'!$D$11*E73*'Cover &amp; Assumptions'!$E$11*C73</f>
        <v>1173.98841351527</v>
      </c>
      <c r="L73" s="25" t="n">
        <f aca="false">J73*'Cover &amp; Assumptions'!$D$12*E73*'Cover &amp; Assumptions'!$E$12*C73</f>
        <v>1453.85562045235</v>
      </c>
      <c r="M73" s="25" t="n">
        <f aca="false">J73*'Cover &amp; Assumptions'!$D$13*E73*'Cover &amp; Assumptions'!$E$13*C73</f>
        <v>2529.70877958709</v>
      </c>
      <c r="N73" s="25" t="n">
        <f aca="false">K73*'Cover &amp; Assumptions'!$C$11+L73*'Cover &amp; Assumptions'!$C$12+M73*'Cover &amp; Assumptions'!$C$13</f>
        <v>1666.84546884862</v>
      </c>
    </row>
    <row r="74" customFormat="false" ht="15" hidden="false" customHeight="false" outlineLevel="0" collapsed="false">
      <c r="A74" s="17" t="str">
        <f aca="false">Portfolio!A74</f>
        <v>UKSME-102794</v>
      </c>
      <c r="B74" s="17" t="str">
        <f aca="false">Portfolio!B74</f>
        <v>Construction</v>
      </c>
      <c r="C74" s="21" t="n">
        <f aca="false">Portfolio!D74</f>
        <v>112428</v>
      </c>
      <c r="D74" s="22" t="n">
        <f aca="false">Portfolio!G74</f>
        <v>0.0057154530553973</v>
      </c>
      <c r="E74" s="23" t="n">
        <f aca="false">Portfolio!E74</f>
        <v>0.252</v>
      </c>
      <c r="F74" s="17" t="n">
        <f aca="false">Portfolio!F74</f>
        <v>0</v>
      </c>
      <c r="G74" s="16" t="str">
        <f aca="false">IF(OR(F74&gt;='Cover &amp; Assumptions'!$C$22,Portfolio!I74=1),"Stage 3",IF(OR(F74&gt;=30,D74&gt;'Cover &amp; Assumptions'!$C$21),"Stage 2","Stage 1"))</f>
        <v>Stage 1</v>
      </c>
      <c r="H74" s="16" t="n">
        <f aca="false">IF(G74="Stage 1",12,MIN(Portfolio!H74,60))</f>
        <v>12</v>
      </c>
      <c r="I74" s="24" t="n">
        <f aca="false">1-(1-D74)^(H74/12)</f>
        <v>0.00571545305539734</v>
      </c>
      <c r="J74" s="24" t="n">
        <f aca="false">IF(G74="Stage 1",D74,I74)</f>
        <v>0.0057154530553973</v>
      </c>
      <c r="K74" s="25" t="n">
        <f aca="false">J74*'Cover &amp; Assumptions'!$D$11*E74*'Cover &amp; Assumptions'!$E$11*C74</f>
        <v>130.757984799273</v>
      </c>
      <c r="L74" s="25" t="n">
        <f aca="false">J74*'Cover &amp; Assumptions'!$D$12*E74*'Cover &amp; Assumptions'!$E$12*C74</f>
        <v>161.929392940276</v>
      </c>
      <c r="M74" s="25" t="n">
        <f aca="false">J74*'Cover &amp; Assumptions'!$D$13*E74*'Cover &amp; Assumptions'!$E$13*C74</f>
        <v>281.757143716081</v>
      </c>
      <c r="N74" s="25" t="n">
        <f aca="false">K74*'Cover &amp; Assumptions'!$C$11+L74*'Cover &amp; Assumptions'!$C$12+M74*'Cover &amp; Assumptions'!$C$13</f>
        <v>185.652049006027</v>
      </c>
    </row>
    <row r="75" customFormat="false" ht="15" hidden="false" customHeight="false" outlineLevel="0" collapsed="false">
      <c r="A75" s="17" t="str">
        <f aca="false">Portfolio!A75</f>
        <v>UKSME-105077</v>
      </c>
      <c r="B75" s="17" t="str">
        <f aca="false">Portfolio!B75</f>
        <v>Real Estate</v>
      </c>
      <c r="C75" s="21" t="n">
        <f aca="false">Portfolio!D75</f>
        <v>67397</v>
      </c>
      <c r="D75" s="22" t="n">
        <f aca="false">Portfolio!G75</f>
        <v>0.242357456518406</v>
      </c>
      <c r="E75" s="23" t="n">
        <f aca="false">Portfolio!E75</f>
        <v>0.546</v>
      </c>
      <c r="F75" s="17" t="n">
        <f aca="false">Portfolio!F75</f>
        <v>0</v>
      </c>
      <c r="G75" s="16" t="str">
        <f aca="false">IF(OR(F75&gt;='Cover &amp; Assumptions'!$C$22,Portfolio!I75=1),"Stage 3",IF(OR(F75&gt;=30,D75&gt;'Cover &amp; Assumptions'!$C$21),"Stage 2","Stage 1"))</f>
        <v>Stage 2</v>
      </c>
      <c r="H75" s="16" t="n">
        <f aca="false">IF(G75="Stage 1",12,MIN(Portfolio!H75,60))</f>
        <v>36</v>
      </c>
      <c r="I75" s="24" t="n">
        <f aca="false">1-(1-D75)^(H75/12)</f>
        <v>0.565096342426078</v>
      </c>
      <c r="J75" s="24" t="n">
        <f aca="false">IF(G75="Stage 1",D75,I75)</f>
        <v>0.565096342426078</v>
      </c>
      <c r="K75" s="25" t="n">
        <f aca="false">J75*'Cover &amp; Assumptions'!$D$11*E75*'Cover &amp; Assumptions'!$E$11*C75</f>
        <v>16791.8379931962</v>
      </c>
      <c r="L75" s="25" t="n">
        <f aca="false">J75*'Cover &amp; Assumptions'!$D$12*E75*'Cover &amp; Assumptions'!$E$12*C75</f>
        <v>20794.8458120077</v>
      </c>
      <c r="M75" s="25" t="n">
        <f aca="false">J75*'Cover &amp; Assumptions'!$D$13*E75*'Cover &amp; Assumptions'!$E$13*C75</f>
        <v>36183.0317128935</v>
      </c>
      <c r="N75" s="25" t="n">
        <f aca="false">K75*'Cover &amp; Assumptions'!$C$11+L75*'Cover &amp; Assumptions'!$C$12+M75*'Cover &amp; Assumptions'!$C$13</f>
        <v>23841.2907234669</v>
      </c>
    </row>
    <row r="76" customFormat="false" ht="15" hidden="false" customHeight="false" outlineLevel="0" collapsed="false">
      <c r="A76" s="17" t="str">
        <f aca="false">Portfolio!A76</f>
        <v>UKSME-102465</v>
      </c>
      <c r="B76" s="17" t="str">
        <f aca="false">Portfolio!B76</f>
        <v>Real Estate</v>
      </c>
      <c r="C76" s="21" t="n">
        <f aca="false">Portfolio!D76</f>
        <v>67536</v>
      </c>
      <c r="D76" s="22" t="n">
        <f aca="false">Portfolio!G76</f>
        <v>0.128660037082165</v>
      </c>
      <c r="E76" s="23" t="n">
        <f aca="false">Portfolio!E76</f>
        <v>0.517</v>
      </c>
      <c r="F76" s="17" t="n">
        <f aca="false">Portfolio!F76</f>
        <v>0</v>
      </c>
      <c r="G76" s="16" t="str">
        <f aca="false">IF(OR(F76&gt;='Cover &amp; Assumptions'!$C$22,Portfolio!I76=1),"Stage 3",IF(OR(F76&gt;=30,D76&gt;'Cover &amp; Assumptions'!$C$21),"Stage 2","Stage 1"))</f>
        <v>Stage 1</v>
      </c>
      <c r="H76" s="16" t="n">
        <f aca="false">IF(G76="Stage 1",12,MIN(Portfolio!H76,60))</f>
        <v>12</v>
      </c>
      <c r="I76" s="24" t="n">
        <f aca="false">1-(1-D76)^(H76/12)</f>
        <v>0.128660037082165</v>
      </c>
      <c r="J76" s="24" t="n">
        <f aca="false">IF(G76="Stage 1",D76,I76)</f>
        <v>0.128660037082165</v>
      </c>
      <c r="K76" s="25" t="n">
        <f aca="false">J76*'Cover &amp; Assumptions'!$D$11*E76*'Cover &amp; Assumptions'!$E$11*C76</f>
        <v>3627.53892373316</v>
      </c>
      <c r="L76" s="25" t="n">
        <f aca="false">J76*'Cover &amp; Assumptions'!$D$12*E76*'Cover &amp; Assumptions'!$E$12*C76</f>
        <v>4492.30826468503</v>
      </c>
      <c r="M76" s="25" t="n">
        <f aca="false">J76*'Cover &amp; Assumptions'!$D$13*E76*'Cover &amp; Assumptions'!$E$13*C76</f>
        <v>7816.61638055195</v>
      </c>
      <c r="N76" s="25" t="n">
        <f aca="false">K76*'Cover &amp; Assumptions'!$C$11+L76*'Cover &amp; Assumptions'!$C$12+M76*'Cover &amp; Assumptions'!$C$13</f>
        <v>5150.43142546138</v>
      </c>
    </row>
    <row r="77" customFormat="false" ht="15" hidden="false" customHeight="false" outlineLevel="0" collapsed="false">
      <c r="A77" s="17" t="str">
        <f aca="false">Portfolio!A77</f>
        <v>UKSME-104312</v>
      </c>
      <c r="B77" s="17" t="str">
        <f aca="false">Portfolio!B77</f>
        <v>Transport</v>
      </c>
      <c r="C77" s="21" t="n">
        <f aca="false">Portfolio!D77</f>
        <v>26849</v>
      </c>
      <c r="D77" s="22" t="n">
        <f aca="false">Portfolio!G77</f>
        <v>0.149341796241253</v>
      </c>
      <c r="E77" s="23" t="n">
        <f aca="false">Portfolio!E77</f>
        <v>0.141</v>
      </c>
      <c r="F77" s="17" t="n">
        <f aca="false">Portfolio!F77</f>
        <v>0</v>
      </c>
      <c r="G77" s="16" t="str">
        <f aca="false">IF(OR(F77&gt;='Cover &amp; Assumptions'!$C$22,Portfolio!I77=1),"Stage 3",IF(OR(F77&gt;=30,D77&gt;'Cover &amp; Assumptions'!$C$21),"Stage 2","Stage 1"))</f>
        <v>Stage 3</v>
      </c>
      <c r="H77" s="16" t="n">
        <f aca="false">IF(G77="Stage 1",12,MIN(Portfolio!H77,60))</f>
        <v>60</v>
      </c>
      <c r="I77" s="24" t="n">
        <f aca="false">1-(1-D77)^(H77/12)</f>
        <v>0.554574092472584</v>
      </c>
      <c r="J77" s="24" t="n">
        <f aca="false">IF(G77="Stage 1",D77,I77)</f>
        <v>0.554574092472584</v>
      </c>
      <c r="K77" s="25" t="n">
        <f aca="false">J77*'Cover &amp; Assumptions'!$D$11*E77*'Cover &amp; Assumptions'!$E$11*C77</f>
        <v>1695.31082743004</v>
      </c>
      <c r="L77" s="25" t="n">
        <f aca="false">J77*'Cover &amp; Assumptions'!$D$12*E77*'Cover &amp; Assumptions'!$E$12*C77</f>
        <v>2099.45613304029</v>
      </c>
      <c r="M77" s="25" t="n">
        <f aca="false">J77*'Cover &amp; Assumptions'!$D$13*E77*'Cover &amp; Assumptions'!$E$13*C77</f>
        <v>3653.05367149011</v>
      </c>
      <c r="N77" s="25" t="n">
        <f aca="false">K77*'Cover &amp; Assumptions'!$C$11+L77*'Cover &amp; Assumptions'!$C$12+M77*'Cover &amp; Assumptions'!$C$13</f>
        <v>2407.0264565307</v>
      </c>
    </row>
    <row r="78" customFormat="false" ht="15" hidden="false" customHeight="false" outlineLevel="0" collapsed="false">
      <c r="A78" s="17" t="str">
        <f aca="false">Portfolio!A78</f>
        <v>UKSME-105233</v>
      </c>
      <c r="B78" s="17" t="str">
        <f aca="false">Portfolio!B78</f>
        <v>Healthcare</v>
      </c>
      <c r="C78" s="21" t="n">
        <f aca="false">Portfolio!D78</f>
        <v>249970</v>
      </c>
      <c r="D78" s="22" t="n">
        <f aca="false">Portfolio!G78</f>
        <v>0.193875515477195</v>
      </c>
      <c r="E78" s="23" t="n">
        <f aca="false">Portfolio!E78</f>
        <v>0.087</v>
      </c>
      <c r="F78" s="17" t="n">
        <f aca="false">Portfolio!F78</f>
        <v>35</v>
      </c>
      <c r="G78" s="16" t="str">
        <f aca="false">IF(OR(F78&gt;='Cover &amp; Assumptions'!$C$22,Portfolio!I78=1),"Stage 3",IF(OR(F78&gt;=30,D78&gt;'Cover &amp; Assumptions'!$C$21),"Stage 2","Stage 1"))</f>
        <v>Stage 2</v>
      </c>
      <c r="H78" s="16" t="n">
        <f aca="false">IF(G78="Stage 1",12,MIN(Portfolio!H78,60))</f>
        <v>36</v>
      </c>
      <c r="I78" s="24" t="n">
        <f aca="false">1-(1-D78)^(H78/12)</f>
        <v>0.476150737645413</v>
      </c>
      <c r="J78" s="24" t="n">
        <f aca="false">IF(G78="Stage 1",D78,I78)</f>
        <v>0.476150737645413</v>
      </c>
      <c r="K78" s="25" t="n">
        <f aca="false">J78*'Cover &amp; Assumptions'!$D$11*E78*'Cover &amp; Assumptions'!$E$11*C78</f>
        <v>8361.6914007177</v>
      </c>
      <c r="L78" s="25" t="n">
        <f aca="false">J78*'Cover &amp; Assumptions'!$D$12*E78*'Cover &amp; Assumptions'!$E$12*C78</f>
        <v>10355.0357903625</v>
      </c>
      <c r="M78" s="25" t="n">
        <f aca="false">J78*'Cover &amp; Assumptions'!$D$13*E78*'Cover &amp; Assumptions'!$E$13*C78</f>
        <v>18017.7622752307</v>
      </c>
      <c r="N78" s="25" t="n">
        <f aca="false">K78*'Cover &amp; Assumptions'!$C$11+L78*'Cover &amp; Assumptions'!$C$12+M78*'Cover &amp; Assumptions'!$C$13</f>
        <v>11872.0485336506</v>
      </c>
    </row>
    <row r="79" customFormat="false" ht="15" hidden="false" customHeight="false" outlineLevel="0" collapsed="false">
      <c r="A79" s="17" t="str">
        <f aca="false">Portfolio!A79</f>
        <v>UKSME-106475</v>
      </c>
      <c r="B79" s="17" t="str">
        <f aca="false">Portfolio!B79</f>
        <v>Manufacturing</v>
      </c>
      <c r="C79" s="21" t="n">
        <f aca="false">Portfolio!D79</f>
        <v>59063</v>
      </c>
      <c r="D79" s="22" t="n">
        <f aca="false">Portfolio!G79</f>
        <v>0.0940306573097464</v>
      </c>
      <c r="E79" s="23" t="n">
        <f aca="false">Portfolio!E79</f>
        <v>0.05</v>
      </c>
      <c r="F79" s="17" t="n">
        <f aca="false">Portfolio!F79</f>
        <v>0</v>
      </c>
      <c r="G79" s="16" t="str">
        <f aca="false">IF(OR(F79&gt;='Cover &amp; Assumptions'!$C$22,Portfolio!I79=1),"Stage 3",IF(OR(F79&gt;=30,D79&gt;'Cover &amp; Assumptions'!$C$21),"Stage 2","Stage 1"))</f>
        <v>Stage 1</v>
      </c>
      <c r="H79" s="16" t="n">
        <f aca="false">IF(G79="Stage 1",12,MIN(Portfolio!H79,60))</f>
        <v>12</v>
      </c>
      <c r="I79" s="24" t="n">
        <f aca="false">1-(1-D79)^(H79/12)</f>
        <v>0.0940306573097464</v>
      </c>
      <c r="J79" s="24" t="n">
        <f aca="false">IF(G79="Stage 1",D79,I79)</f>
        <v>0.0940306573097464</v>
      </c>
      <c r="K79" s="25" t="n">
        <f aca="false">J79*'Cover &amp; Assumptions'!$D$11*E79*'Cover &amp; Assumptions'!$E$11*C79</f>
        <v>224.231958274679</v>
      </c>
      <c r="L79" s="25" t="n">
        <f aca="false">J79*'Cover &amp; Assumptions'!$D$12*E79*'Cover &amp; Assumptions'!$E$12*C79</f>
        <v>277.686635634278</v>
      </c>
      <c r="M79" s="25" t="n">
        <f aca="false">J79*'Cover &amp; Assumptions'!$D$13*E79*'Cover &amp; Assumptions'!$E$13*C79</f>
        <v>483.174746003643</v>
      </c>
      <c r="N79" s="25" t="n">
        <f aca="false">K79*'Cover &amp; Assumptions'!$C$11+L79*'Cover &amp; Assumptions'!$C$12+M79*'Cover &amp; Assumptions'!$C$13</f>
        <v>318.367727754699</v>
      </c>
    </row>
    <row r="80" customFormat="false" ht="15" hidden="false" customHeight="false" outlineLevel="0" collapsed="false">
      <c r="A80" s="17" t="str">
        <f aca="false">Portfolio!A80</f>
        <v>UKSME-104466</v>
      </c>
      <c r="B80" s="17" t="str">
        <f aca="false">Portfolio!B80</f>
        <v>Technology</v>
      </c>
      <c r="C80" s="21" t="n">
        <f aca="false">Portfolio!D80</f>
        <v>244263</v>
      </c>
      <c r="D80" s="22" t="n">
        <f aca="false">Portfolio!G80</f>
        <v>0.188144068697122</v>
      </c>
      <c r="E80" s="23" t="n">
        <f aca="false">Portfolio!E80</f>
        <v>0.246</v>
      </c>
      <c r="F80" s="17" t="n">
        <f aca="false">Portfolio!F80</f>
        <v>0</v>
      </c>
      <c r="G80" s="16" t="str">
        <f aca="false">IF(OR(F80&gt;='Cover &amp; Assumptions'!$C$22,Portfolio!I80=1),"Stage 3",IF(OR(F80&gt;=30,D80&gt;'Cover &amp; Assumptions'!$C$21),"Stage 2","Stage 1"))</f>
        <v>Stage 2</v>
      </c>
      <c r="H80" s="16" t="n">
        <f aca="false">IF(G80="Stage 1",12,MIN(Portfolio!H80,60))</f>
        <v>36</v>
      </c>
      <c r="I80" s="24" t="n">
        <f aca="false">1-(1-D80)^(H80/12)</f>
        <v>0.464897593934993</v>
      </c>
      <c r="J80" s="24" t="n">
        <f aca="false">IF(G80="Stage 1",D80,I80)</f>
        <v>0.464897593934993</v>
      </c>
      <c r="K80" s="25" t="n">
        <f aca="false">J80*'Cover &amp; Assumptions'!$D$11*E80*'Cover &amp; Assumptions'!$E$11*C80</f>
        <v>22557.5860817308</v>
      </c>
      <c r="L80" s="25" t="n">
        <f aca="false">J80*'Cover &amp; Assumptions'!$D$12*E80*'Cover &amp; Assumptions'!$E$12*C80</f>
        <v>27935.0911228864</v>
      </c>
      <c r="M80" s="25" t="n">
        <f aca="false">J80*'Cover &amp; Assumptions'!$D$13*E80*'Cover &amp; Assumptions'!$E$13*C80</f>
        <v>48607.0585538224</v>
      </c>
      <c r="N80" s="25" t="n">
        <f aca="false">K80*'Cover &amp; Assumptions'!$C$11+L80*'Cover &amp; Assumptions'!$C$12+M80*'Cover &amp; Assumptions'!$C$13</f>
        <v>32027.5819723893</v>
      </c>
    </row>
    <row r="81" customFormat="false" ht="15" hidden="false" customHeight="false" outlineLevel="0" collapsed="false">
      <c r="A81" s="17" t="str">
        <f aca="false">Portfolio!A81</f>
        <v>UKSME-104381</v>
      </c>
      <c r="B81" s="17" t="str">
        <f aca="false">Portfolio!B81</f>
        <v>Wholesale</v>
      </c>
      <c r="C81" s="21" t="n">
        <f aca="false">Portfolio!D81</f>
        <v>36060</v>
      </c>
      <c r="D81" s="22" t="n">
        <f aca="false">Portfolio!G81</f>
        <v>0.191196310138437</v>
      </c>
      <c r="E81" s="23" t="n">
        <f aca="false">Portfolio!E81</f>
        <v>0.171</v>
      </c>
      <c r="F81" s="17" t="n">
        <f aca="false">Portfolio!F81</f>
        <v>0</v>
      </c>
      <c r="G81" s="16" t="str">
        <f aca="false">IF(OR(F81&gt;='Cover &amp; Assumptions'!$C$22,Portfolio!I81=1),"Stage 3",IF(OR(F81&gt;=30,D81&gt;'Cover &amp; Assumptions'!$C$21),"Stage 2","Stage 1"))</f>
        <v>Stage 3</v>
      </c>
      <c r="H81" s="16" t="n">
        <f aca="false">IF(G81="Stage 1",12,MIN(Portfolio!H81,60))</f>
        <v>36</v>
      </c>
      <c r="I81" s="24" t="n">
        <f aca="false">1-(1-D81)^(H81/12)</f>
        <v>0.470910221243782</v>
      </c>
      <c r="J81" s="24" t="n">
        <f aca="false">IF(G81="Stage 1",D81,I81)</f>
        <v>0.470910221243782</v>
      </c>
      <c r="K81" s="25" t="n">
        <f aca="false">J81*'Cover &amp; Assumptions'!$D$11*E81*'Cover &amp; Assumptions'!$E$11*C81</f>
        <v>2344.7820501337</v>
      </c>
      <c r="L81" s="25" t="n">
        <f aca="false">J81*'Cover &amp; Assumptions'!$D$12*E81*'Cover &amp; Assumptions'!$E$12*C81</f>
        <v>2903.75486084668</v>
      </c>
      <c r="M81" s="25" t="n">
        <f aca="false">J81*'Cover &amp; Assumptions'!$D$13*E81*'Cover &amp; Assumptions'!$E$13*C81</f>
        <v>5052.53345787323</v>
      </c>
      <c r="N81" s="25" t="n">
        <f aca="false">K81*'Cover &amp; Assumptions'!$C$11+L81*'Cover &amp; Assumptions'!$C$12+M81*'Cover &amp; Assumptions'!$C$13</f>
        <v>3329.15494796072</v>
      </c>
    </row>
    <row r="82" customFormat="false" ht="15" hidden="false" customHeight="false" outlineLevel="0" collapsed="false">
      <c r="A82" s="17" t="str">
        <f aca="false">Portfolio!A82</f>
        <v>UKSME-105120</v>
      </c>
      <c r="B82" s="17" t="str">
        <f aca="false">Portfolio!B82</f>
        <v>Real Estate</v>
      </c>
      <c r="C82" s="21" t="n">
        <f aca="false">Portfolio!D82</f>
        <v>77172</v>
      </c>
      <c r="D82" s="22" t="n">
        <f aca="false">Portfolio!G82</f>
        <v>0.225552911506248</v>
      </c>
      <c r="E82" s="23" t="n">
        <f aca="false">Portfolio!E82</f>
        <v>0.766</v>
      </c>
      <c r="F82" s="17" t="n">
        <f aca="false">Portfolio!F82</f>
        <v>0</v>
      </c>
      <c r="G82" s="16" t="str">
        <f aca="false">IF(OR(F82&gt;='Cover &amp; Assumptions'!$C$22,Portfolio!I82=1),"Stage 3",IF(OR(F82&gt;=30,D82&gt;'Cover &amp; Assumptions'!$C$21),"Stage 2","Stage 1"))</f>
        <v>Stage 2</v>
      </c>
      <c r="H82" s="16" t="n">
        <f aca="false">IF(G82="Stage 1",12,MIN(Portfolio!H82,60))</f>
        <v>36</v>
      </c>
      <c r="I82" s="24" t="n">
        <f aca="false">1-(1-D82)^(H82/12)</f>
        <v>0.535511191810966</v>
      </c>
      <c r="J82" s="24" t="n">
        <f aca="false">IF(G82="Stage 1",D82,I82)</f>
        <v>0.535511191810966</v>
      </c>
      <c r="K82" s="25" t="n">
        <f aca="false">J82*'Cover &amp; Assumptions'!$D$11*E82*'Cover &amp; Assumptions'!$E$11*C82</f>
        <v>25562.2811971448</v>
      </c>
      <c r="L82" s="25" t="n">
        <f aca="false">J82*'Cover &amp; Assumptions'!$D$12*E82*'Cover &amp; Assumptions'!$E$12*C82</f>
        <v>31656.0757859379</v>
      </c>
      <c r="M82" s="25" t="n">
        <f aca="false">J82*'Cover &amp; Assumptions'!$D$13*E82*'Cover &amp; Assumptions'!$E$13*C82</f>
        <v>55081.5718675319</v>
      </c>
      <c r="N82" s="25" t="n">
        <f aca="false">K82*'Cover &amp; Assumptions'!$C$11+L82*'Cover &amp; Assumptions'!$C$12+M82*'Cover &amp; Assumptions'!$C$13</f>
        <v>36293.6908885778</v>
      </c>
    </row>
    <row r="83" customFormat="false" ht="15" hidden="false" customHeight="false" outlineLevel="0" collapsed="false">
      <c r="A83" s="17" t="str">
        <f aca="false">Portfolio!A83</f>
        <v>UKSME-104562</v>
      </c>
      <c r="B83" s="17" t="str">
        <f aca="false">Portfolio!B83</f>
        <v>Construction</v>
      </c>
      <c r="C83" s="21" t="n">
        <f aca="false">Portfolio!D83</f>
        <v>87043</v>
      </c>
      <c r="D83" s="22" t="n">
        <f aca="false">Portfolio!G83</f>
        <v>0.425151557542281</v>
      </c>
      <c r="E83" s="23" t="n">
        <f aca="false">Portfolio!E83</f>
        <v>0.563</v>
      </c>
      <c r="F83" s="17" t="n">
        <f aca="false">Portfolio!F83</f>
        <v>95</v>
      </c>
      <c r="G83" s="16" t="str">
        <f aca="false">IF(OR(F83&gt;='Cover &amp; Assumptions'!$C$22,Portfolio!I83=1),"Stage 3",IF(OR(F83&gt;=30,D83&gt;'Cover &amp; Assumptions'!$C$21),"Stage 2","Stage 1"))</f>
        <v>Stage 3</v>
      </c>
      <c r="H83" s="16" t="n">
        <f aca="false">IF(G83="Stage 1",12,MIN(Portfolio!H83,60))</f>
        <v>24</v>
      </c>
      <c r="I83" s="24" t="n">
        <f aca="false">1-(1-D83)^(H83/12)</f>
        <v>0.669549268203934</v>
      </c>
      <c r="J83" s="24" t="n">
        <f aca="false">IF(G83="Stage 1",D83,I83)</f>
        <v>0.669549268203934</v>
      </c>
      <c r="K83" s="25" t="n">
        <f aca="false">J83*'Cover &amp; Assumptions'!$D$11*E83*'Cover &amp; Assumptions'!$E$11*C83</f>
        <v>26495.2069729857</v>
      </c>
      <c r="L83" s="25" t="n">
        <f aca="false">J83*'Cover &amp; Assumptions'!$D$12*E83*'Cover &amp; Assumptions'!$E$12*C83</f>
        <v>32811.4018241309</v>
      </c>
      <c r="M83" s="25" t="n">
        <f aca="false">J83*'Cover &amp; Assumptions'!$D$13*E83*'Cover &amp; Assumptions'!$E$13*C83</f>
        <v>57091.8391739877</v>
      </c>
      <c r="N83" s="25" t="n">
        <f aca="false">K83*'Cover &amp; Assumptions'!$C$11+L83*'Cover &amp; Assumptions'!$C$12+M83*'Cover &amp; Assumptions'!$C$13</f>
        <v>37618.272191366</v>
      </c>
    </row>
    <row r="84" customFormat="false" ht="15" hidden="false" customHeight="false" outlineLevel="0" collapsed="false">
      <c r="A84" s="17" t="str">
        <f aca="false">Portfolio!A84</f>
        <v>UKSME-100378</v>
      </c>
      <c r="B84" s="17" t="str">
        <f aca="false">Portfolio!B84</f>
        <v>Transport</v>
      </c>
      <c r="C84" s="21" t="n">
        <f aca="false">Portfolio!D84</f>
        <v>361471</v>
      </c>
      <c r="D84" s="22" t="n">
        <f aca="false">Portfolio!G84</f>
        <v>0.167838607380702</v>
      </c>
      <c r="E84" s="23" t="n">
        <f aca="false">Portfolio!E84</f>
        <v>0.244</v>
      </c>
      <c r="F84" s="17" t="n">
        <f aca="false">Portfolio!F84</f>
        <v>0</v>
      </c>
      <c r="G84" s="16" t="str">
        <f aca="false">IF(OR(F84&gt;='Cover &amp; Assumptions'!$C$22,Portfolio!I84=1),"Stage 3",IF(OR(F84&gt;=30,D84&gt;'Cover &amp; Assumptions'!$C$21),"Stage 2","Stage 1"))</f>
        <v>Stage 2</v>
      </c>
      <c r="H84" s="16" t="n">
        <f aca="false">IF(G84="Stage 1",12,MIN(Portfolio!H84,60))</f>
        <v>60</v>
      </c>
      <c r="I84" s="24" t="n">
        <f aca="false">1-(1-D84)^(H84/12)</f>
        <v>0.600940351108356</v>
      </c>
      <c r="J84" s="24" t="n">
        <f aca="false">IF(G84="Stage 1",D84,I84)</f>
        <v>0.600940351108356</v>
      </c>
      <c r="K84" s="25" t="n">
        <f aca="false">J84*'Cover &amp; Assumptions'!$D$11*E84*'Cover &amp; Assumptions'!$E$11*C84</f>
        <v>42799.3510774209</v>
      </c>
      <c r="L84" s="25" t="n">
        <f aca="false">J84*'Cover &amp; Assumptions'!$D$12*E84*'Cover &amp; Assumptions'!$E$12*C84</f>
        <v>53002.2923559392</v>
      </c>
      <c r="M84" s="25" t="n">
        <f aca="false">J84*'Cover &amp; Assumptions'!$D$13*E84*'Cover &amp; Assumptions'!$E$13*C84</f>
        <v>92223.9886993342</v>
      </c>
      <c r="N84" s="25" t="n">
        <f aca="false">K84*'Cover &amp; Assumptions'!$C$11+L84*'Cover &amp; Assumptions'!$C$12+M84*'Cover &amp; Assumptions'!$C$13</f>
        <v>60767.1281860843</v>
      </c>
    </row>
    <row r="85" customFormat="false" ht="15" hidden="false" customHeight="false" outlineLevel="0" collapsed="false">
      <c r="A85" s="17" t="str">
        <f aca="false">Portfolio!A85</f>
        <v>UKSME-102759</v>
      </c>
      <c r="B85" s="17" t="str">
        <f aca="false">Portfolio!B85</f>
        <v>Professional Services</v>
      </c>
      <c r="C85" s="21" t="n">
        <f aca="false">Portfolio!D85</f>
        <v>90083</v>
      </c>
      <c r="D85" s="22" t="n">
        <f aca="false">Portfolio!G85</f>
        <v>0.186696760153867</v>
      </c>
      <c r="E85" s="23" t="n">
        <f aca="false">Portfolio!E85</f>
        <v>0.46</v>
      </c>
      <c r="F85" s="17" t="n">
        <f aca="false">Portfolio!F85</f>
        <v>0</v>
      </c>
      <c r="G85" s="16" t="str">
        <f aca="false">IF(OR(F85&gt;='Cover &amp; Assumptions'!$C$22,Portfolio!I85=1),"Stage 3",IF(OR(F85&gt;=30,D85&gt;'Cover &amp; Assumptions'!$C$21),"Stage 2","Stage 1"))</f>
        <v>Stage 2</v>
      </c>
      <c r="H85" s="16" t="n">
        <f aca="false">IF(G85="Stage 1",12,MIN(Portfolio!H85,60))</f>
        <v>36</v>
      </c>
      <c r="I85" s="24" t="n">
        <f aca="false">1-(1-D85)^(H85/12)</f>
        <v>0.462030682281747</v>
      </c>
      <c r="J85" s="24" t="n">
        <f aca="false">IF(G85="Stage 1",D85,I85)</f>
        <v>0.462030682281747</v>
      </c>
      <c r="K85" s="25" t="n">
        <f aca="false">J85*'Cover &amp; Assumptions'!$D$11*E85*'Cover &amp; Assumptions'!$E$11*C85</f>
        <v>15460.1612916654</v>
      </c>
      <c r="L85" s="25" t="n">
        <f aca="false">J85*'Cover &amp; Assumptions'!$D$12*E85*'Cover &amp; Assumptions'!$E$12*C85</f>
        <v>19145.7105779138</v>
      </c>
      <c r="M85" s="25" t="n">
        <f aca="false">J85*'Cover &amp; Assumptions'!$D$13*E85*'Cover &amp; Assumptions'!$E$13*C85</f>
        <v>33313.5364055701</v>
      </c>
      <c r="N85" s="25" t="n">
        <f aca="false">K85*'Cover &amp; Assumptions'!$C$11+L85*'Cover &amp; Assumptions'!$C$12+M85*'Cover &amp; Assumptions'!$C$13</f>
        <v>21950.5571775782</v>
      </c>
    </row>
    <row r="86" customFormat="false" ht="15" hidden="false" customHeight="false" outlineLevel="0" collapsed="false">
      <c r="A86" s="17" t="str">
        <f aca="false">Portfolio!A86</f>
        <v>UKSME-106959</v>
      </c>
      <c r="B86" s="17" t="str">
        <f aca="false">Portfolio!B86</f>
        <v>Retail</v>
      </c>
      <c r="C86" s="21" t="n">
        <f aca="false">Portfolio!D86</f>
        <v>150849</v>
      </c>
      <c r="D86" s="22" t="n">
        <f aca="false">Portfolio!G86</f>
        <v>0.172275009878802</v>
      </c>
      <c r="E86" s="23" t="n">
        <f aca="false">Portfolio!E86</f>
        <v>0.231</v>
      </c>
      <c r="F86" s="17" t="n">
        <f aca="false">Portfolio!F86</f>
        <v>65</v>
      </c>
      <c r="G86" s="16" t="str">
        <f aca="false">IF(OR(F86&gt;='Cover &amp; Assumptions'!$C$22,Portfolio!I86=1),"Stage 3",IF(OR(F86&gt;=30,D86&gt;'Cover &amp; Assumptions'!$C$21),"Stage 2","Stage 1"))</f>
        <v>Stage 3</v>
      </c>
      <c r="H86" s="16" t="n">
        <f aca="false">IF(G86="Stage 1",12,MIN(Portfolio!H86,60))</f>
        <v>36</v>
      </c>
      <c r="I86" s="24" t="n">
        <f aca="false">1-(1-D86)^(H86/12)</f>
        <v>0.432901887273049</v>
      </c>
      <c r="J86" s="24" t="n">
        <f aca="false">IF(G86="Stage 1",D86,I86)</f>
        <v>0.432901887273049</v>
      </c>
      <c r="K86" s="25" t="n">
        <f aca="false">J86*'Cover &amp; Assumptions'!$D$11*E86*'Cover &amp; Assumptions'!$E$11*C86</f>
        <v>12181.0976734873</v>
      </c>
      <c r="L86" s="25" t="n">
        <f aca="false">J86*'Cover &amp; Assumptions'!$D$12*E86*'Cover &amp; Assumptions'!$E$12*C86</f>
        <v>15084.9506792412</v>
      </c>
      <c r="M86" s="25" t="n">
        <f aca="false">J86*'Cover &amp; Assumptions'!$D$13*E86*'Cover &amp; Assumptions'!$E$13*C86</f>
        <v>26247.8141818798</v>
      </c>
      <c r="N86" s="25" t="n">
        <f aca="false">K86*'Cover &amp; Assumptions'!$C$11+L86*'Cover &amp; Assumptions'!$C$12+M86*'Cover &amp; Assumptions'!$C$13</f>
        <v>17294.8959537501</v>
      </c>
    </row>
    <row r="87" customFormat="false" ht="15" hidden="false" customHeight="false" outlineLevel="0" collapsed="false">
      <c r="A87" s="17" t="str">
        <f aca="false">Portfolio!A87</f>
        <v>UKSME-106781</v>
      </c>
      <c r="B87" s="17" t="str">
        <f aca="false">Portfolio!B87</f>
        <v>Construction</v>
      </c>
      <c r="C87" s="21" t="n">
        <f aca="false">Portfolio!D87</f>
        <v>137696</v>
      </c>
      <c r="D87" s="22" t="n">
        <f aca="false">Portfolio!G87</f>
        <v>0.167357051188449</v>
      </c>
      <c r="E87" s="23" t="n">
        <f aca="false">Portfolio!E87</f>
        <v>0.357</v>
      </c>
      <c r="F87" s="17" t="n">
        <f aca="false">Portfolio!F87</f>
        <v>0</v>
      </c>
      <c r="G87" s="16" t="str">
        <f aca="false">IF(OR(F87&gt;='Cover &amp; Assumptions'!$C$22,Portfolio!I87=1),"Stage 3",IF(OR(F87&gt;=30,D87&gt;'Cover &amp; Assumptions'!$C$21),"Stage 2","Stage 1"))</f>
        <v>Stage 2</v>
      </c>
      <c r="H87" s="16" t="n">
        <f aca="false">IF(G87="Stage 1",12,MIN(Portfolio!H87,60))</f>
        <v>24</v>
      </c>
      <c r="I87" s="24" t="n">
        <f aca="false">1-(1-D87)^(H87/12)</f>
        <v>0.306705719794404</v>
      </c>
      <c r="J87" s="24" t="n">
        <f aca="false">IF(G87="Stage 1",D87,I87)</f>
        <v>0.306705719794404</v>
      </c>
      <c r="K87" s="25" t="n">
        <f aca="false">J87*'Cover &amp; Assumptions'!$D$11*E87*'Cover &amp; Assumptions'!$E$11*C87</f>
        <v>12174.5788501744</v>
      </c>
      <c r="L87" s="25" t="n">
        <f aca="false">J87*'Cover &amp; Assumptions'!$D$12*E87*'Cover &amp; Assumptions'!$E$12*C87</f>
        <v>15076.8778330333</v>
      </c>
      <c r="M87" s="25" t="n">
        <f aca="false">J87*'Cover &amp; Assumptions'!$D$13*E87*'Cover &amp; Assumptions'!$E$13*C87</f>
        <v>26233.7674294779</v>
      </c>
      <c r="N87" s="25" t="n">
        <f aca="false">K87*'Cover &amp; Assumptions'!$C$11+L87*'Cover &amp; Assumptions'!$C$12+M87*'Cover &amp; Assumptions'!$C$13</f>
        <v>17285.6404355726</v>
      </c>
    </row>
    <row r="88" customFormat="false" ht="15" hidden="false" customHeight="false" outlineLevel="0" collapsed="false">
      <c r="A88" s="17" t="str">
        <f aca="false">Portfolio!A88</f>
        <v>UKSME-101289</v>
      </c>
      <c r="B88" s="17" t="str">
        <f aca="false">Portfolio!B88</f>
        <v>Real Estate</v>
      </c>
      <c r="C88" s="21" t="n">
        <f aca="false">Portfolio!D88</f>
        <v>38320</v>
      </c>
      <c r="D88" s="22" t="n">
        <f aca="false">Portfolio!G88</f>
        <v>0.674001456943553</v>
      </c>
      <c r="E88" s="23" t="n">
        <f aca="false">Portfolio!E88</f>
        <v>0.931</v>
      </c>
      <c r="F88" s="17" t="n">
        <f aca="false">Portfolio!F88</f>
        <v>0</v>
      </c>
      <c r="G88" s="16" t="str">
        <f aca="false">IF(OR(F88&gt;='Cover &amp; Assumptions'!$C$22,Portfolio!I88=1),"Stage 3",IF(OR(F88&gt;=30,D88&gt;'Cover &amp; Assumptions'!$C$21),"Stage 2","Stage 1"))</f>
        <v>Stage 2</v>
      </c>
      <c r="H88" s="16" t="n">
        <f aca="false">IF(G88="Stage 1",12,MIN(Portfolio!H88,60))</f>
        <v>60</v>
      </c>
      <c r="I88" s="24" t="n">
        <f aca="false">1-(1-D88)^(H88/12)</f>
        <v>0.996318046531776</v>
      </c>
      <c r="J88" s="24" t="n">
        <f aca="false">IF(G88="Stage 1",D88,I88)</f>
        <v>0.996318046531776</v>
      </c>
      <c r="K88" s="25" t="n">
        <f aca="false">J88*'Cover &amp; Assumptions'!$D$11*E88*'Cover &amp; Assumptions'!$E$11*C88</f>
        <v>28702.2345600188</v>
      </c>
      <c r="L88" s="25" t="n">
        <f aca="false">J88*'Cover &amp; Assumptions'!$D$12*E88*'Cover &amp; Assumptions'!$E$12*C88</f>
        <v>35544.5629226239</v>
      </c>
      <c r="M88" s="25" t="n">
        <f aca="false">J88*'Cover &amp; Assumptions'!$D$13*E88*'Cover &amp; Assumptions'!$E$13*C88</f>
        <v>61847.5394853656</v>
      </c>
      <c r="N88" s="25" t="n">
        <f aca="false">K88*'Cover &amp; Assumptions'!$C$11+L88*'Cover &amp; Assumptions'!$C$12+M88*'Cover &amp; Assumptions'!$C$13</f>
        <v>40751.8413907883</v>
      </c>
    </row>
    <row r="89" customFormat="false" ht="15" hidden="false" customHeight="false" outlineLevel="0" collapsed="false">
      <c r="A89" s="17" t="str">
        <f aca="false">Portfolio!A89</f>
        <v>UKSME-106743</v>
      </c>
      <c r="B89" s="17" t="str">
        <f aca="false">Portfolio!B89</f>
        <v>Hospitality</v>
      </c>
      <c r="C89" s="21" t="n">
        <f aca="false">Portfolio!D89</f>
        <v>28456</v>
      </c>
      <c r="D89" s="22" t="n">
        <f aca="false">Portfolio!G89</f>
        <v>0.207474060285905</v>
      </c>
      <c r="E89" s="23" t="n">
        <f aca="false">Portfolio!E89</f>
        <v>0.294</v>
      </c>
      <c r="F89" s="17" t="n">
        <f aca="false">Portfolio!F89</f>
        <v>0</v>
      </c>
      <c r="G89" s="16" t="str">
        <f aca="false">IF(OR(F89&gt;='Cover &amp; Assumptions'!$C$22,Portfolio!I89=1),"Stage 3",IF(OR(F89&gt;=30,D89&gt;'Cover &amp; Assumptions'!$C$21),"Stage 2","Stage 1"))</f>
        <v>Stage 2</v>
      </c>
      <c r="H89" s="16" t="n">
        <f aca="false">IF(G89="Stage 1",12,MIN(Portfolio!H89,60))</f>
        <v>60</v>
      </c>
      <c r="I89" s="24" t="n">
        <f aca="false">1-(1-D89)^(H89/12)</f>
        <v>0.687343523813639</v>
      </c>
      <c r="J89" s="24" t="n">
        <f aca="false">IF(G89="Stage 1",D89,I89)</f>
        <v>0.687343523813639</v>
      </c>
      <c r="K89" s="25" t="n">
        <f aca="false">J89*'Cover &amp; Assumptions'!$D$11*E89*'Cover &amp; Assumptions'!$E$11*C89</f>
        <v>4643.41562749492</v>
      </c>
      <c r="L89" s="25" t="n">
        <f aca="false">J89*'Cover &amp; Assumptions'!$D$12*E89*'Cover &amp; Assumptions'!$E$12*C89</f>
        <v>5750.35991021042</v>
      </c>
      <c r="M89" s="25" t="n">
        <f aca="false">J89*'Cover &amp; Assumptions'!$D$13*E89*'Cover &amp; Assumptions'!$E$13*C89</f>
        <v>10005.6262437661</v>
      </c>
      <c r="N89" s="25" t="n">
        <f aca="false">K89*'Cover &amp; Assumptions'!$C$11+L89*'Cover &amp; Assumptions'!$C$12+M89*'Cover &amp; Assumptions'!$C$13</f>
        <v>6592.78763705625</v>
      </c>
    </row>
    <row r="90" customFormat="false" ht="15" hidden="false" customHeight="false" outlineLevel="0" collapsed="false">
      <c r="A90" s="17" t="str">
        <f aca="false">Portfolio!A90</f>
        <v>UKSME-100011</v>
      </c>
      <c r="B90" s="17" t="str">
        <f aca="false">Portfolio!B90</f>
        <v>Manufacturing</v>
      </c>
      <c r="C90" s="21" t="n">
        <f aca="false">Portfolio!D90</f>
        <v>168691</v>
      </c>
      <c r="D90" s="22" t="n">
        <f aca="false">Portfolio!G90</f>
        <v>0.125819327933789</v>
      </c>
      <c r="E90" s="23" t="n">
        <f aca="false">Portfolio!E90</f>
        <v>0.48</v>
      </c>
      <c r="F90" s="17" t="n">
        <f aca="false">Portfolio!F90</f>
        <v>0</v>
      </c>
      <c r="G90" s="16" t="str">
        <f aca="false">IF(OR(F90&gt;='Cover &amp; Assumptions'!$C$22,Portfolio!I90=1),"Stage 3",IF(OR(F90&gt;=30,D90&gt;'Cover &amp; Assumptions'!$C$21),"Stage 2","Stage 1"))</f>
        <v>Stage 1</v>
      </c>
      <c r="H90" s="16" t="n">
        <f aca="false">IF(G90="Stage 1",12,MIN(Portfolio!H90,60))</f>
        <v>12</v>
      </c>
      <c r="I90" s="24" t="n">
        <f aca="false">1-(1-D90)^(H90/12)</f>
        <v>0.125819327933789</v>
      </c>
      <c r="J90" s="24" t="n">
        <f aca="false">IF(G90="Stage 1",D90,I90)</f>
        <v>0.125819327933789</v>
      </c>
      <c r="K90" s="25" t="n">
        <f aca="false">J90*'Cover &amp; Assumptions'!$D$11*E90*'Cover &amp; Assumptions'!$E$11*C90</f>
        <v>8226.6504051104</v>
      </c>
      <c r="L90" s="25" t="n">
        <f aca="false">J90*'Cover &amp; Assumptions'!$D$12*E90*'Cover &amp; Assumptions'!$E$12*C90</f>
        <v>10187.8023592698</v>
      </c>
      <c r="M90" s="25" t="n">
        <f aca="false">J90*'Cover &amp; Assumptions'!$D$13*E90*'Cover &amp; Assumptions'!$E$13*C90</f>
        <v>17726.7761051295</v>
      </c>
      <c r="N90" s="25" t="n">
        <f aca="false">K90*'Cover &amp; Assumptions'!$C$11+L90*'Cover &amp; Assumptions'!$C$12+M90*'Cover &amp; Assumptions'!$C$13</f>
        <v>11680.3154049029</v>
      </c>
    </row>
    <row r="91" customFormat="false" ht="15" hidden="false" customHeight="false" outlineLevel="0" collapsed="false">
      <c r="A91" s="17" t="str">
        <f aca="false">Portfolio!A91</f>
        <v>UKSME-102066</v>
      </c>
      <c r="B91" s="17" t="str">
        <f aca="false">Portfolio!B91</f>
        <v>Hospitality</v>
      </c>
      <c r="C91" s="21" t="n">
        <f aca="false">Portfolio!D91</f>
        <v>238691</v>
      </c>
      <c r="D91" s="22" t="n">
        <f aca="false">Portfolio!G91</f>
        <v>0.264977175473152</v>
      </c>
      <c r="E91" s="23" t="n">
        <f aca="false">Portfolio!E91</f>
        <v>0.138</v>
      </c>
      <c r="F91" s="17" t="n">
        <f aca="false">Portfolio!F91</f>
        <v>0</v>
      </c>
      <c r="G91" s="16" t="str">
        <f aca="false">IF(OR(F91&gt;='Cover &amp; Assumptions'!$C$22,Portfolio!I91=1),"Stage 3",IF(OR(F91&gt;=30,D91&gt;'Cover &amp; Assumptions'!$C$21),"Stage 2","Stage 1"))</f>
        <v>Stage 3</v>
      </c>
      <c r="H91" s="16" t="n">
        <f aca="false">IF(G91="Stage 1",12,MIN(Portfolio!H91,60))</f>
        <v>36</v>
      </c>
      <c r="I91" s="24" t="n">
        <f aca="false">1-(1-D91)^(H91/12)</f>
        <v>0.602897632711225</v>
      </c>
      <c r="J91" s="24" t="n">
        <f aca="false">IF(G91="Stage 1",D91,I91)</f>
        <v>0.602897632711225</v>
      </c>
      <c r="K91" s="25" t="n">
        <f aca="false">J91*'Cover &amp; Assumptions'!$D$11*E91*'Cover &amp; Assumptions'!$E$11*C91</f>
        <v>16036.1917261912</v>
      </c>
      <c r="L91" s="25" t="n">
        <f aca="false">J91*'Cover &amp; Assumptions'!$D$12*E91*'Cover &amp; Assumptions'!$E$12*C91</f>
        <v>19859.0609612275</v>
      </c>
      <c r="M91" s="25" t="n">
        <f aca="false">J91*'Cover &amp; Assumptions'!$D$13*E91*'Cover &amp; Assumptions'!$E$13*C91</f>
        <v>34554.7660725359</v>
      </c>
      <c r="N91" s="25" t="n">
        <f aca="false">K91*'Cover &amp; Assumptions'!$C$11+L91*'Cover &amp; Assumptions'!$C$12+M91*'Cover &amp; Assumptions'!$C$13</f>
        <v>22768.4133920474</v>
      </c>
    </row>
    <row r="92" customFormat="false" ht="15" hidden="false" customHeight="false" outlineLevel="0" collapsed="false">
      <c r="A92" s="17" t="str">
        <f aca="false">Portfolio!A92</f>
        <v>UKSME-106210</v>
      </c>
      <c r="B92" s="17" t="str">
        <f aca="false">Portfolio!B92</f>
        <v>Construction</v>
      </c>
      <c r="C92" s="21" t="n">
        <f aca="false">Portfolio!D92</f>
        <v>17509</v>
      </c>
      <c r="D92" s="22" t="n">
        <f aca="false">Portfolio!G92</f>
        <v>0.140399978058974</v>
      </c>
      <c r="E92" s="23" t="n">
        <f aca="false">Portfolio!E92</f>
        <v>0.643</v>
      </c>
      <c r="F92" s="17" t="n">
        <f aca="false">Portfolio!F92</f>
        <v>0</v>
      </c>
      <c r="G92" s="16" t="str">
        <f aca="false">IF(OR(F92&gt;='Cover &amp; Assumptions'!$C$22,Portfolio!I92=1),"Stage 3",IF(OR(F92&gt;=30,D92&gt;'Cover &amp; Assumptions'!$C$21),"Stage 2","Stage 1"))</f>
        <v>Stage 1</v>
      </c>
      <c r="H92" s="16" t="n">
        <f aca="false">IF(G92="Stage 1",12,MIN(Portfolio!H92,60))</f>
        <v>12</v>
      </c>
      <c r="I92" s="24" t="n">
        <f aca="false">1-(1-D92)^(H92/12)</f>
        <v>0.140399978058974</v>
      </c>
      <c r="J92" s="24" t="n">
        <f aca="false">IF(G92="Stage 1",D92,I92)</f>
        <v>0.140399978058974</v>
      </c>
      <c r="K92" s="25" t="n">
        <f aca="false">J92*'Cover &amp; Assumptions'!$D$11*E92*'Cover &amp; Assumptions'!$E$11*C92</f>
        <v>1276.38557258366</v>
      </c>
      <c r="L92" s="25" t="n">
        <f aca="false">J92*'Cover &amp; Assumptions'!$D$12*E92*'Cover &amp; Assumptions'!$E$12*C92</f>
        <v>1580.66324778163</v>
      </c>
      <c r="M92" s="25" t="n">
        <f aca="false">J92*'Cover &amp; Assumptions'!$D$13*E92*'Cover &amp; Assumptions'!$E$13*C92</f>
        <v>2750.35405114003</v>
      </c>
      <c r="N92" s="25" t="n">
        <f aca="false">K92*'Cover &amp; Assumptions'!$C$11+L92*'Cover &amp; Assumptions'!$C$12+M92*'Cover &amp; Assumptions'!$C$13</f>
        <v>1812.23041358164</v>
      </c>
    </row>
    <row r="93" customFormat="false" ht="15" hidden="false" customHeight="false" outlineLevel="0" collapsed="false">
      <c r="A93" s="17" t="str">
        <f aca="false">Portfolio!A93</f>
        <v>UKSME-104479</v>
      </c>
      <c r="B93" s="17" t="str">
        <f aca="false">Portfolio!B93</f>
        <v>Professional Services</v>
      </c>
      <c r="C93" s="21" t="n">
        <f aca="false">Portfolio!D93</f>
        <v>41619</v>
      </c>
      <c r="D93" s="22" t="n">
        <f aca="false">Portfolio!G93</f>
        <v>0.149697865302221</v>
      </c>
      <c r="E93" s="23" t="n">
        <f aca="false">Portfolio!E93</f>
        <v>0.246</v>
      </c>
      <c r="F93" s="17" t="n">
        <f aca="false">Portfolio!F93</f>
        <v>0</v>
      </c>
      <c r="G93" s="16" t="str">
        <f aca="false">IF(OR(F93&gt;='Cover &amp; Assumptions'!$C$22,Portfolio!I93=1),"Stage 3",IF(OR(F93&gt;=30,D93&gt;'Cover &amp; Assumptions'!$C$21),"Stage 2","Stage 1"))</f>
        <v>Stage 1</v>
      </c>
      <c r="H93" s="16" t="n">
        <f aca="false">IF(G93="Stage 1",12,MIN(Portfolio!H93,60))</f>
        <v>12</v>
      </c>
      <c r="I93" s="24" t="n">
        <f aca="false">1-(1-D93)^(H93/12)</f>
        <v>0.149697865302221</v>
      </c>
      <c r="J93" s="24" t="n">
        <f aca="false">IF(G93="Stage 1",D93,I93)</f>
        <v>0.149697865302221</v>
      </c>
      <c r="K93" s="25" t="n">
        <f aca="false">J93*'Cover &amp; Assumptions'!$D$11*E93*'Cover &amp; Assumptions'!$E$11*C93</f>
        <v>1237.61306795973</v>
      </c>
      <c r="L93" s="25" t="n">
        <f aca="false">J93*'Cover &amp; Assumptions'!$D$12*E93*'Cover &amp; Assumptions'!$E$12*C93</f>
        <v>1532.64776217923</v>
      </c>
      <c r="M93" s="25" t="n">
        <f aca="false">J93*'Cover &amp; Assumptions'!$D$13*E93*'Cover &amp; Assumptions'!$E$13*C93</f>
        <v>2666.80710619186</v>
      </c>
      <c r="N93" s="25" t="n">
        <f aca="false">K93*'Cover &amp; Assumptions'!$C$11+L93*'Cover &amp; Assumptions'!$C$12+M93*'Cover &amp; Assumptions'!$C$13</f>
        <v>1757.18065933849</v>
      </c>
    </row>
    <row r="94" customFormat="false" ht="15" hidden="false" customHeight="false" outlineLevel="0" collapsed="false">
      <c r="A94" s="17" t="str">
        <f aca="false">Portfolio!A94</f>
        <v>UKSME-101055</v>
      </c>
      <c r="B94" s="17" t="str">
        <f aca="false">Portfolio!B94</f>
        <v>Construction</v>
      </c>
      <c r="C94" s="21" t="n">
        <f aca="false">Portfolio!D94</f>
        <v>61596</v>
      </c>
      <c r="D94" s="22" t="n">
        <f aca="false">Portfolio!G94</f>
        <v>0.0031104767543386</v>
      </c>
      <c r="E94" s="23" t="n">
        <f aca="false">Portfolio!E94</f>
        <v>0.639</v>
      </c>
      <c r="F94" s="17" t="n">
        <f aca="false">Portfolio!F94</f>
        <v>0</v>
      </c>
      <c r="G94" s="16" t="str">
        <f aca="false">IF(OR(F94&gt;='Cover &amp; Assumptions'!$C$22,Portfolio!I94=1),"Stage 3",IF(OR(F94&gt;=30,D94&gt;'Cover &amp; Assumptions'!$C$21),"Stage 2","Stage 1"))</f>
        <v>Stage 1</v>
      </c>
      <c r="H94" s="16" t="n">
        <f aca="false">IF(G94="Stage 1",12,MIN(Portfolio!H94,60))</f>
        <v>12</v>
      </c>
      <c r="I94" s="24" t="n">
        <f aca="false">1-(1-D94)^(H94/12)</f>
        <v>0.00311047675433862</v>
      </c>
      <c r="J94" s="24" t="n">
        <f aca="false">IF(G94="Stage 1",D94,I94)</f>
        <v>0.0031104767543386</v>
      </c>
      <c r="K94" s="25" t="n">
        <f aca="false">J94*'Cover &amp; Assumptions'!$D$11*E94*'Cover &amp; Assumptions'!$E$11*C94</f>
        <v>98.8605129517378</v>
      </c>
      <c r="L94" s="25" t="n">
        <f aca="false">J94*'Cover &amp; Assumptions'!$D$12*E94*'Cover &amp; Assumptions'!$E$12*C94</f>
        <v>122.427879816394</v>
      </c>
      <c r="M94" s="25" t="n">
        <f aca="false">J94*'Cover &amp; Assumptions'!$D$13*E94*'Cover &amp; Assumptions'!$E$13*C94</f>
        <v>213.024510880525</v>
      </c>
      <c r="N94" s="25" t="n">
        <f aca="false">K94*'Cover &amp; Assumptions'!$C$11+L94*'Cover &amp; Assumptions'!$C$12+M94*'Cover &amp; Assumptions'!$C$13</f>
        <v>140.363564209495</v>
      </c>
    </row>
    <row r="95" customFormat="false" ht="15" hidden="false" customHeight="false" outlineLevel="0" collapsed="false">
      <c r="A95" s="17" t="str">
        <f aca="false">Portfolio!A95</f>
        <v>UKSME-103700</v>
      </c>
      <c r="B95" s="17" t="str">
        <f aca="false">Portfolio!B95</f>
        <v>Manufacturing</v>
      </c>
      <c r="C95" s="21" t="n">
        <f aca="false">Portfolio!D95</f>
        <v>68358</v>
      </c>
      <c r="D95" s="22" t="n">
        <f aca="false">Portfolio!G95</f>
        <v>0.181901974914163</v>
      </c>
      <c r="E95" s="23" t="n">
        <f aca="false">Portfolio!E95</f>
        <v>0.358</v>
      </c>
      <c r="F95" s="17" t="n">
        <f aca="false">Portfolio!F95</f>
        <v>0</v>
      </c>
      <c r="G95" s="16" t="str">
        <f aca="false">IF(OR(F95&gt;='Cover &amp; Assumptions'!$C$22,Portfolio!I95=1),"Stage 3",IF(OR(F95&gt;=30,D95&gt;'Cover &amp; Assumptions'!$C$21),"Stage 2","Stage 1"))</f>
        <v>Stage 3</v>
      </c>
      <c r="H95" s="16" t="n">
        <f aca="false">IF(G95="Stage 1",12,MIN(Portfolio!H95,60))</f>
        <v>60</v>
      </c>
      <c r="I95" s="24" t="n">
        <f aca="false">1-(1-D95)^(H95/12)</f>
        <v>0.633539878453913</v>
      </c>
      <c r="J95" s="24" t="n">
        <f aca="false">IF(G95="Stage 1",D95,I95)</f>
        <v>0.633539878453913</v>
      </c>
      <c r="K95" s="25" t="n">
        <f aca="false">J95*'Cover &amp; Assumptions'!$D$11*E95*'Cover &amp; Assumptions'!$E$11*C95</f>
        <v>12519.5541333968</v>
      </c>
      <c r="L95" s="25" t="n">
        <f aca="false">J95*'Cover &amp; Assumptions'!$D$12*E95*'Cover &amp; Assumptions'!$E$12*C95</f>
        <v>15504.0918060642</v>
      </c>
      <c r="M95" s="25" t="n">
        <f aca="false">J95*'Cover &amp; Assumptions'!$D$13*E95*'Cover &amp; Assumptions'!$E$13*C95</f>
        <v>26977.1197425517</v>
      </c>
      <c r="N95" s="25" t="n">
        <f aca="false">K95*'Cover &amp; Assumptions'!$C$11+L95*'Cover &amp; Assumptions'!$C$12+M95*'Cover &amp; Assumptions'!$C$13</f>
        <v>17775.4412556526</v>
      </c>
    </row>
    <row r="96" customFormat="false" ht="15" hidden="false" customHeight="false" outlineLevel="0" collapsed="false">
      <c r="A96" s="17" t="str">
        <f aca="false">Portfolio!A96</f>
        <v>UKSME-105577</v>
      </c>
      <c r="B96" s="17" t="str">
        <f aca="false">Portfolio!B96</f>
        <v>Professional Services</v>
      </c>
      <c r="C96" s="21" t="n">
        <f aca="false">Portfolio!D96</f>
        <v>69306</v>
      </c>
      <c r="D96" s="22" t="n">
        <f aca="false">Portfolio!G96</f>
        <v>0.0708150017836525</v>
      </c>
      <c r="E96" s="23" t="n">
        <f aca="false">Portfolio!E96</f>
        <v>0.377</v>
      </c>
      <c r="F96" s="17" t="n">
        <f aca="false">Portfolio!F96</f>
        <v>0</v>
      </c>
      <c r="G96" s="16" t="str">
        <f aca="false">IF(OR(F96&gt;='Cover &amp; Assumptions'!$C$22,Portfolio!I96=1),"Stage 3",IF(OR(F96&gt;=30,D96&gt;'Cover &amp; Assumptions'!$C$21),"Stage 2","Stage 1"))</f>
        <v>Stage 1</v>
      </c>
      <c r="H96" s="16" t="n">
        <f aca="false">IF(G96="Stage 1",12,MIN(Portfolio!H96,60))</f>
        <v>12</v>
      </c>
      <c r="I96" s="24" t="n">
        <f aca="false">1-(1-D96)^(H96/12)</f>
        <v>0.0708150017836525</v>
      </c>
      <c r="J96" s="24" t="n">
        <f aca="false">IF(G96="Stage 1",D96,I96)</f>
        <v>0.0708150017836525</v>
      </c>
      <c r="K96" s="25" t="n">
        <f aca="false">J96*'Cover &amp; Assumptions'!$D$11*E96*'Cover &amp; Assumptions'!$E$11*C96</f>
        <v>1494.10110131939</v>
      </c>
      <c r="L96" s="25" t="n">
        <f aca="false">J96*'Cover &amp; Assumptions'!$D$12*E96*'Cover &amp; Assumptions'!$E$12*C96</f>
        <v>1850.28000163392</v>
      </c>
      <c r="M96" s="25" t="n">
        <f aca="false">J96*'Cover &amp; Assumptions'!$D$13*E96*'Cover &amp; Assumptions'!$E$13*C96</f>
        <v>3219.48720284302</v>
      </c>
      <c r="N96" s="25" t="n">
        <f aca="false">K96*'Cover &amp; Assumptions'!$C$11+L96*'Cover &amp; Assumptions'!$C$12+M96*'Cover &amp; Assumptions'!$C$13</f>
        <v>2121.34602187329</v>
      </c>
    </row>
    <row r="97" customFormat="false" ht="15" hidden="false" customHeight="false" outlineLevel="0" collapsed="false">
      <c r="A97" s="17" t="str">
        <f aca="false">Portfolio!A97</f>
        <v>UKSME-109025</v>
      </c>
      <c r="B97" s="17" t="str">
        <f aca="false">Portfolio!B97</f>
        <v>Hospitality</v>
      </c>
      <c r="C97" s="21" t="n">
        <f aca="false">Portfolio!D97</f>
        <v>28013</v>
      </c>
      <c r="D97" s="22" t="n">
        <f aca="false">Portfolio!G97</f>
        <v>0.0774627649744103</v>
      </c>
      <c r="E97" s="23" t="n">
        <f aca="false">Portfolio!E97</f>
        <v>0.556</v>
      </c>
      <c r="F97" s="17" t="n">
        <f aca="false">Portfolio!F97</f>
        <v>0</v>
      </c>
      <c r="G97" s="16" t="str">
        <f aca="false">IF(OR(F97&gt;='Cover &amp; Assumptions'!$C$22,Portfolio!I97=1),"Stage 3",IF(OR(F97&gt;=30,D97&gt;'Cover &amp; Assumptions'!$C$21),"Stage 2","Stage 1"))</f>
        <v>Stage 1</v>
      </c>
      <c r="H97" s="16" t="n">
        <f aca="false">IF(G97="Stage 1",12,MIN(Portfolio!H97,60))</f>
        <v>12</v>
      </c>
      <c r="I97" s="24" t="n">
        <f aca="false">1-(1-D97)^(H97/12)</f>
        <v>0.0774627649744103</v>
      </c>
      <c r="J97" s="24" t="n">
        <f aca="false">IF(G97="Stage 1",D97,I97)</f>
        <v>0.0774627649744103</v>
      </c>
      <c r="K97" s="25" t="n">
        <f aca="false">J97*'Cover &amp; Assumptions'!$D$11*E97*'Cover &amp; Assumptions'!$E$11*C97</f>
        <v>974.248932484385</v>
      </c>
      <c r="L97" s="25" t="n">
        <f aca="false">J97*'Cover &amp; Assumptions'!$D$12*E97*'Cover &amp; Assumptions'!$E$12*C97</f>
        <v>1206.50022598685</v>
      </c>
      <c r="M97" s="25" t="n">
        <f aca="false">J97*'Cover &amp; Assumptions'!$D$13*E97*'Cover &amp; Assumptions'!$E$13*C97</f>
        <v>2099.31039321713</v>
      </c>
      <c r="N97" s="25" t="n">
        <f aca="false">K97*'Cover &amp; Assumptions'!$C$11+L97*'Cover &amp; Assumptions'!$C$12+M97*'Cover &amp; Assumptions'!$C$13</f>
        <v>1383.25250909393</v>
      </c>
    </row>
    <row r="98" customFormat="false" ht="15" hidden="false" customHeight="false" outlineLevel="0" collapsed="false">
      <c r="A98" s="17" t="str">
        <f aca="false">Portfolio!A98</f>
        <v>UKSME-104641</v>
      </c>
      <c r="B98" s="17" t="str">
        <f aca="false">Portfolio!B98</f>
        <v>Wholesale</v>
      </c>
      <c r="C98" s="21" t="n">
        <f aca="false">Portfolio!D98</f>
        <v>143658</v>
      </c>
      <c r="D98" s="22" t="n">
        <f aca="false">Portfolio!G98</f>
        <v>0.56550613921662</v>
      </c>
      <c r="E98" s="23" t="n">
        <f aca="false">Portfolio!E98</f>
        <v>0.516</v>
      </c>
      <c r="F98" s="17" t="n">
        <f aca="false">Portfolio!F98</f>
        <v>15</v>
      </c>
      <c r="G98" s="16" t="str">
        <f aca="false">IF(OR(F98&gt;='Cover &amp; Assumptions'!$C$22,Portfolio!I98=1),"Stage 3",IF(OR(F98&gt;=30,D98&gt;'Cover &amp; Assumptions'!$C$21),"Stage 2","Stage 1"))</f>
        <v>Stage 3</v>
      </c>
      <c r="H98" s="16" t="n">
        <f aca="false">IF(G98="Stage 1",12,MIN(Portfolio!H98,60))</f>
        <v>36</v>
      </c>
      <c r="I98" s="24" t="n">
        <f aca="false">1-(1-D98)^(H98/12)</f>
        <v>0.917974113398593</v>
      </c>
      <c r="J98" s="24" t="n">
        <f aca="false">IF(G98="Stage 1",D98,I98)</f>
        <v>0.917974113398593</v>
      </c>
      <c r="K98" s="25" t="n">
        <f aca="false">J98*'Cover &amp; Assumptions'!$D$11*E98*'Cover &amp; Assumptions'!$E$11*C98</f>
        <v>54948.0750738402</v>
      </c>
      <c r="L98" s="25" t="n">
        <f aca="false">J98*'Cover &amp; Assumptions'!$D$12*E98*'Cover &amp; Assumptions'!$E$12*C98</f>
        <v>68047.1517942294</v>
      </c>
      <c r="M98" s="25" t="n">
        <f aca="false">J98*'Cover &amp; Assumptions'!$D$13*E98*'Cover &amp; Assumptions'!$E$13*C98</f>
        <v>118402.044121959</v>
      </c>
      <c r="N98" s="25" t="n">
        <f aca="false">K98*'Cover &amp; Assumptions'!$C$11+L98*'Cover &amp; Assumptions'!$C$12+M98*'Cover &amp; Assumptions'!$C$13</f>
        <v>78016.059532084</v>
      </c>
    </row>
    <row r="99" customFormat="false" ht="15" hidden="false" customHeight="false" outlineLevel="0" collapsed="false">
      <c r="A99" s="17" t="str">
        <f aca="false">Portfolio!A99</f>
        <v>UKSME-108722</v>
      </c>
      <c r="B99" s="17" t="str">
        <f aca="false">Portfolio!B99</f>
        <v>Manufacturing</v>
      </c>
      <c r="C99" s="21" t="n">
        <f aca="false">Portfolio!D99</f>
        <v>111708</v>
      </c>
      <c r="D99" s="22" t="n">
        <f aca="false">Portfolio!G99</f>
        <v>0.183722526943237</v>
      </c>
      <c r="E99" s="23" t="n">
        <f aca="false">Portfolio!E99</f>
        <v>0.1</v>
      </c>
      <c r="F99" s="17" t="n">
        <f aca="false">Portfolio!F99</f>
        <v>0</v>
      </c>
      <c r="G99" s="16" t="str">
        <f aca="false">IF(OR(F99&gt;='Cover &amp; Assumptions'!$C$22,Portfolio!I99=1),"Stage 3",IF(OR(F99&gt;=30,D99&gt;'Cover &amp; Assumptions'!$C$21),"Stage 2","Stage 1"))</f>
        <v>Stage 2</v>
      </c>
      <c r="H99" s="16" t="n">
        <f aca="false">IF(G99="Stage 1",12,MIN(Portfolio!H99,60))</f>
        <v>48</v>
      </c>
      <c r="I99" s="24" t="n">
        <f aca="false">1-(1-D99)^(H99/12)</f>
        <v>0.556032432430194</v>
      </c>
      <c r="J99" s="24" t="n">
        <f aca="false">IF(G99="Stage 1",D99,I99)</f>
        <v>0.556032432430194</v>
      </c>
      <c r="K99" s="25" t="n">
        <f aca="false">J99*'Cover &amp; Assumptions'!$D$11*E99*'Cover &amp; Assumptions'!$E$11*C99</f>
        <v>5015.64663017441</v>
      </c>
      <c r="L99" s="25" t="n">
        <f aca="false">J99*'Cover &amp; Assumptions'!$D$12*E99*'Cover &amp; Assumptions'!$E$12*C99</f>
        <v>6211.32709619122</v>
      </c>
      <c r="M99" s="25" t="n">
        <f aca="false">J99*'Cover &amp; Assumptions'!$D$13*E99*'Cover &amp; Assumptions'!$E$13*C99</f>
        <v>10807.7091473727</v>
      </c>
      <c r="N99" s="25" t="n">
        <f aca="false">K99*'Cover &amp; Assumptions'!$C$11+L99*'Cover &amp; Assumptions'!$C$12+M99*'Cover &amp; Assumptions'!$C$13</f>
        <v>7121.28651578323</v>
      </c>
    </row>
    <row r="100" customFormat="false" ht="15" hidden="false" customHeight="false" outlineLevel="0" collapsed="false">
      <c r="A100" s="17" t="str">
        <f aca="false">Portfolio!A100</f>
        <v>UKSME-109736</v>
      </c>
      <c r="B100" s="17" t="str">
        <f aca="false">Portfolio!B100</f>
        <v>Healthcare</v>
      </c>
      <c r="C100" s="21" t="n">
        <f aca="false">Portfolio!D100</f>
        <v>70184</v>
      </c>
      <c r="D100" s="22" t="n">
        <f aca="false">Portfolio!G100</f>
        <v>0.171445207503285</v>
      </c>
      <c r="E100" s="23" t="n">
        <f aca="false">Portfolio!E100</f>
        <v>0.311</v>
      </c>
      <c r="F100" s="17" t="n">
        <f aca="false">Portfolio!F100</f>
        <v>0</v>
      </c>
      <c r="G100" s="16" t="str">
        <f aca="false">IF(OR(F100&gt;='Cover &amp; Assumptions'!$C$22,Portfolio!I100=1),"Stage 3",IF(OR(F100&gt;=30,D100&gt;'Cover &amp; Assumptions'!$C$21),"Stage 2","Stage 1"))</f>
        <v>Stage 2</v>
      </c>
      <c r="H100" s="16" t="n">
        <f aca="false">IF(G100="Stage 1",12,MIN(Portfolio!H100,60))</f>
        <v>48</v>
      </c>
      <c r="I100" s="24" t="n">
        <f aca="false">1-(1-D100)^(H100/12)</f>
        <v>0.528713570346318</v>
      </c>
      <c r="J100" s="24" t="n">
        <f aca="false">IF(G100="Stage 1",D100,I100)</f>
        <v>0.528713570346318</v>
      </c>
      <c r="K100" s="25" t="n">
        <f aca="false">J100*'Cover &amp; Assumptions'!$D$11*E100*'Cover &amp; Assumptions'!$E$11*C100</f>
        <v>9318.83224691949</v>
      </c>
      <c r="L100" s="25" t="n">
        <f aca="false">J100*'Cover &amp; Assumptions'!$D$12*E100*'Cover &amp; Assumptions'!$E$12*C100</f>
        <v>11540.3495317888</v>
      </c>
      <c r="M100" s="25" t="n">
        <f aca="false">J100*'Cover &amp; Assumptions'!$D$13*E100*'Cover &amp; Assumptions'!$E$13*C100</f>
        <v>20080.2081853126</v>
      </c>
      <c r="N100" s="25" t="n">
        <f aca="false">K100*'Cover &amp; Assumptions'!$C$11+L100*'Cover &amp; Assumptions'!$C$12+M100*'Cover &amp; Assumptions'!$C$13</f>
        <v>13231.0107381959</v>
      </c>
    </row>
    <row r="101" customFormat="false" ht="15" hidden="false" customHeight="false" outlineLevel="0" collapsed="false">
      <c r="A101" s="17" t="str">
        <f aca="false">Portfolio!A101</f>
        <v>UKSME-101111</v>
      </c>
      <c r="B101" s="17" t="str">
        <f aca="false">Portfolio!B101</f>
        <v>Healthcare</v>
      </c>
      <c r="C101" s="21" t="n">
        <f aca="false">Portfolio!D101</f>
        <v>100974</v>
      </c>
      <c r="D101" s="22" t="n">
        <f aca="false">Portfolio!G101</f>
        <v>0.21490438777974</v>
      </c>
      <c r="E101" s="23" t="n">
        <f aca="false">Portfolio!E101</f>
        <v>0.346</v>
      </c>
      <c r="F101" s="17" t="n">
        <f aca="false">Portfolio!F101</f>
        <v>35</v>
      </c>
      <c r="G101" s="16" t="str">
        <f aca="false">IF(OR(F101&gt;='Cover &amp; Assumptions'!$C$22,Portfolio!I101=1),"Stage 3",IF(OR(F101&gt;=30,D101&gt;'Cover &amp; Assumptions'!$C$21),"Stage 2","Stage 1"))</f>
        <v>Stage 2</v>
      </c>
      <c r="H101" s="16" t="n">
        <f aca="false">IF(G101="Stage 1",12,MIN(Portfolio!H101,60))</f>
        <v>48</v>
      </c>
      <c r="I101" s="24" t="n">
        <f aca="false">1-(1-D101)^(H101/12)</f>
        <v>0.620081711041254</v>
      </c>
      <c r="J101" s="24" t="n">
        <f aca="false">IF(G101="Stage 1",D101,I101)</f>
        <v>0.620081711041254</v>
      </c>
      <c r="K101" s="25" t="n">
        <f aca="false">J101*'Cover &amp; Assumptions'!$D$11*E101*'Cover &amp; Assumptions'!$E$11*C101</f>
        <v>17493.5162543224</v>
      </c>
      <c r="L101" s="25" t="n">
        <f aca="false">J101*'Cover &amp; Assumptions'!$D$12*E101*'Cover &amp; Assumptions'!$E$12*C101</f>
        <v>21663.7972189751</v>
      </c>
      <c r="M101" s="25" t="n">
        <f aca="false">J101*'Cover &amp; Assumptions'!$D$13*E101*'Cover &amp; Assumptions'!$E$13*C101</f>
        <v>37695.0071610167</v>
      </c>
      <c r="N101" s="25" t="n">
        <f aca="false">K101*'Cover &amp; Assumptions'!$C$11+L101*'Cover &amp; Assumptions'!$C$12+M101*'Cover &amp; Assumptions'!$C$13</f>
        <v>24837.543511555</v>
      </c>
    </row>
    <row r="102" customFormat="false" ht="15" hidden="false" customHeight="false" outlineLevel="0" collapsed="false">
      <c r="A102" s="17" t="str">
        <f aca="false">Portfolio!A102</f>
        <v>UKSME-109271</v>
      </c>
      <c r="B102" s="17" t="str">
        <f aca="false">Portfolio!B102</f>
        <v>Healthcare</v>
      </c>
      <c r="C102" s="21" t="n">
        <f aca="false">Portfolio!D102</f>
        <v>39801</v>
      </c>
      <c r="D102" s="22" t="n">
        <f aca="false">Portfolio!G102</f>
        <v>0.130099897132557</v>
      </c>
      <c r="E102" s="23" t="n">
        <f aca="false">Portfolio!E102</f>
        <v>0.257</v>
      </c>
      <c r="F102" s="17" t="n">
        <f aca="false">Portfolio!F102</f>
        <v>0</v>
      </c>
      <c r="G102" s="16" t="str">
        <f aca="false">IF(OR(F102&gt;='Cover &amp; Assumptions'!$C$22,Portfolio!I102=1),"Stage 3",IF(OR(F102&gt;=30,D102&gt;'Cover &amp; Assumptions'!$C$21),"Stage 2","Stage 1"))</f>
        <v>Stage 1</v>
      </c>
      <c r="H102" s="16" t="n">
        <f aca="false">IF(G102="Stage 1",12,MIN(Portfolio!H102,60))</f>
        <v>12</v>
      </c>
      <c r="I102" s="24" t="n">
        <f aca="false">1-(1-D102)^(H102/12)</f>
        <v>0.130099897132557</v>
      </c>
      <c r="J102" s="24" t="n">
        <f aca="false">IF(G102="Stage 1",D102,I102)</f>
        <v>0.130099897132557</v>
      </c>
      <c r="K102" s="25" t="n">
        <f aca="false">J102*'Cover &amp; Assumptions'!$D$11*E102*'Cover &amp; Assumptions'!$E$11*C102</f>
        <v>1074.59939411303</v>
      </c>
      <c r="L102" s="25" t="n">
        <f aca="false">J102*'Cover &amp; Assumptions'!$D$12*E102*'Cover &amp; Assumptions'!$E$12*C102</f>
        <v>1330.77324348363</v>
      </c>
      <c r="M102" s="25" t="n">
        <f aca="false">J102*'Cover &amp; Assumptions'!$D$13*E102*'Cover &amp; Assumptions'!$E$13*C102</f>
        <v>2315.54544366152</v>
      </c>
      <c r="N102" s="25" t="n">
        <f aca="false">K102*'Cover &amp; Assumptions'!$C$11+L102*'Cover &amp; Assumptions'!$C$12+M102*'Cover &amp; Assumptions'!$C$13</f>
        <v>1525.73152365398</v>
      </c>
    </row>
    <row r="103" customFormat="false" ht="15" hidden="false" customHeight="false" outlineLevel="0" collapsed="false">
      <c r="A103" s="17" t="str">
        <f aca="false">Portfolio!A103</f>
        <v>UKSME-102729</v>
      </c>
      <c r="B103" s="17" t="str">
        <f aca="false">Portfolio!B103</f>
        <v>Professional Services</v>
      </c>
      <c r="C103" s="21" t="n">
        <f aca="false">Portfolio!D103</f>
        <v>28816</v>
      </c>
      <c r="D103" s="22" t="n">
        <f aca="false">Portfolio!G103</f>
        <v>0.035325657797243</v>
      </c>
      <c r="E103" s="23" t="n">
        <f aca="false">Portfolio!E103</f>
        <v>0.729</v>
      </c>
      <c r="F103" s="17" t="n">
        <f aca="false">Portfolio!F103</f>
        <v>0</v>
      </c>
      <c r="G103" s="16" t="str">
        <f aca="false">IF(OR(F103&gt;='Cover &amp; Assumptions'!$C$22,Portfolio!I103=1),"Stage 3",IF(OR(F103&gt;=30,D103&gt;'Cover &amp; Assumptions'!$C$21),"Stage 2","Stage 1"))</f>
        <v>Stage 1</v>
      </c>
      <c r="H103" s="16" t="n">
        <f aca="false">IF(G103="Stage 1",12,MIN(Portfolio!H103,60))</f>
        <v>12</v>
      </c>
      <c r="I103" s="24" t="n">
        <f aca="false">1-(1-D103)^(H103/12)</f>
        <v>0.035325657797243</v>
      </c>
      <c r="J103" s="24" t="n">
        <f aca="false">IF(G103="Stage 1",D103,I103)</f>
        <v>0.035325657797243</v>
      </c>
      <c r="K103" s="25" t="n">
        <f aca="false">J103*'Cover &amp; Assumptions'!$D$11*E103*'Cover &amp; Assumptions'!$E$11*C103</f>
        <v>599.230640913708</v>
      </c>
      <c r="L103" s="25" t="n">
        <f aca="false">J103*'Cover &amp; Assumptions'!$D$12*E103*'Cover &amp; Assumptions'!$E$12*C103</f>
        <v>742.081289057223</v>
      </c>
      <c r="M103" s="25" t="n">
        <f aca="false">J103*'Cover &amp; Assumptions'!$D$13*E103*'Cover &amp; Assumptions'!$E$13*C103</f>
        <v>1291.22144295957</v>
      </c>
      <c r="N103" s="25" t="n">
        <f aca="false">K103*'Cover &amp; Assumptions'!$C$11+L103*'Cover &amp; Assumptions'!$C$12+M103*'Cover &amp; Assumptions'!$C$13</f>
        <v>850.796197904106</v>
      </c>
    </row>
    <row r="104" customFormat="false" ht="15" hidden="false" customHeight="false" outlineLevel="0" collapsed="false">
      <c r="A104" s="17" t="str">
        <f aca="false">Portfolio!A104</f>
        <v>UKSME-100737</v>
      </c>
      <c r="B104" s="17" t="str">
        <f aca="false">Portfolio!B104</f>
        <v>Professional Services</v>
      </c>
      <c r="C104" s="21" t="n">
        <f aca="false">Portfolio!D104</f>
        <v>229214</v>
      </c>
      <c r="D104" s="22" t="n">
        <f aca="false">Portfolio!G104</f>
        <v>0.0738656478187152</v>
      </c>
      <c r="E104" s="23" t="n">
        <f aca="false">Portfolio!E104</f>
        <v>0.132</v>
      </c>
      <c r="F104" s="17" t="n">
        <f aca="false">Portfolio!F104</f>
        <v>0</v>
      </c>
      <c r="G104" s="16" t="str">
        <f aca="false">IF(OR(F104&gt;='Cover &amp; Assumptions'!$C$22,Portfolio!I104=1),"Stage 3",IF(OR(F104&gt;=30,D104&gt;'Cover &amp; Assumptions'!$C$21),"Stage 2","Stage 1"))</f>
        <v>Stage 1</v>
      </c>
      <c r="H104" s="16" t="n">
        <f aca="false">IF(G104="Stage 1",12,MIN(Portfolio!H104,60))</f>
        <v>12</v>
      </c>
      <c r="I104" s="24" t="n">
        <f aca="false">1-(1-D104)^(H104/12)</f>
        <v>0.0738656478187152</v>
      </c>
      <c r="J104" s="24" t="n">
        <f aca="false">IF(G104="Stage 1",D104,I104)</f>
        <v>0.0738656478187152</v>
      </c>
      <c r="K104" s="25" t="n">
        <f aca="false">J104*'Cover &amp; Assumptions'!$D$11*E104*'Cover &amp; Assumptions'!$E$11*C104</f>
        <v>1804.67961746009</v>
      </c>
      <c r="L104" s="25" t="n">
        <f aca="false">J104*'Cover &amp; Assumptions'!$D$12*E104*'Cover &amp; Assumptions'!$E$12*C104</f>
        <v>2234.89735908371</v>
      </c>
      <c r="M104" s="25" t="n">
        <f aca="false">J104*'Cover &amp; Assumptions'!$D$13*E104*'Cover &amp; Assumptions'!$E$13*C104</f>
        <v>3888.72140480565</v>
      </c>
      <c r="N104" s="25" t="n">
        <f aca="false">K104*'Cover &amp; Assumptions'!$C$11+L104*'Cover &amp; Assumptions'!$C$12+M104*'Cover &amp; Assumptions'!$C$13</f>
        <v>2562.30982218947</v>
      </c>
    </row>
    <row r="105" customFormat="false" ht="15" hidden="false" customHeight="false" outlineLevel="0" collapsed="false">
      <c r="A105" s="17" t="str">
        <f aca="false">Portfolio!A105</f>
        <v>UKSME-101748</v>
      </c>
      <c r="B105" s="17" t="str">
        <f aca="false">Portfolio!B105</f>
        <v>Wholesale</v>
      </c>
      <c r="C105" s="21" t="n">
        <f aca="false">Portfolio!D105</f>
        <v>84467</v>
      </c>
      <c r="D105" s="22" t="n">
        <f aca="false">Portfolio!G105</f>
        <v>0.188438835632972</v>
      </c>
      <c r="E105" s="23" t="n">
        <f aca="false">Portfolio!E105</f>
        <v>0.95</v>
      </c>
      <c r="F105" s="17" t="n">
        <f aca="false">Portfolio!F105</f>
        <v>0</v>
      </c>
      <c r="G105" s="16" t="str">
        <f aca="false">IF(OR(F105&gt;='Cover &amp; Assumptions'!$C$22,Portfolio!I105=1),"Stage 3",IF(OR(F105&gt;=30,D105&gt;'Cover &amp; Assumptions'!$C$21),"Stage 2","Stage 1"))</f>
        <v>Stage 2</v>
      </c>
      <c r="H105" s="16" t="n">
        <f aca="false">IF(G105="Stage 1",12,MIN(Portfolio!H105,60))</f>
        <v>60</v>
      </c>
      <c r="I105" s="24" t="n">
        <f aca="false">1-(1-D105)^(H105/12)</f>
        <v>0.647948432103</v>
      </c>
      <c r="J105" s="24" t="n">
        <f aca="false">IF(G105="Stage 1",D105,I105)</f>
        <v>0.647948432103</v>
      </c>
      <c r="K105" s="25" t="n">
        <f aca="false">J105*'Cover &amp; Assumptions'!$D$11*E105*'Cover &amp; Assumptions'!$E$11*C105</f>
        <v>41984.9508670054</v>
      </c>
      <c r="L105" s="25" t="n">
        <f aca="false">J105*'Cover &amp; Assumptions'!$D$12*E105*'Cover &amp; Assumptions'!$E$12*C105</f>
        <v>51993.7472037219</v>
      </c>
      <c r="M105" s="25" t="n">
        <f aca="false">J105*'Cover &amp; Assumptions'!$D$13*E105*'Cover &amp; Assumptions'!$E$13*C105</f>
        <v>90469.1201344761</v>
      </c>
      <c r="N105" s="25" t="n">
        <f aca="false">K105*'Cover &amp; Assumptions'!$C$11+L105*'Cover &amp; Assumptions'!$C$12+M105*'Cover &amp; Assumptions'!$C$13</f>
        <v>59610.8311690672</v>
      </c>
    </row>
    <row r="106" customFormat="false" ht="15" hidden="false" customHeight="false" outlineLevel="0" collapsed="false">
      <c r="A106" s="17" t="str">
        <f aca="false">Portfolio!A106</f>
        <v>UKSME-109311</v>
      </c>
      <c r="B106" s="17" t="str">
        <f aca="false">Portfolio!B106</f>
        <v>Retail</v>
      </c>
      <c r="C106" s="21" t="n">
        <f aca="false">Portfolio!D106</f>
        <v>132038</v>
      </c>
      <c r="D106" s="22" t="n">
        <f aca="false">Portfolio!G106</f>
        <v>0.16953912818227</v>
      </c>
      <c r="E106" s="23" t="n">
        <f aca="false">Portfolio!E106</f>
        <v>0.423</v>
      </c>
      <c r="F106" s="17" t="n">
        <f aca="false">Portfolio!F106</f>
        <v>0</v>
      </c>
      <c r="G106" s="16" t="str">
        <f aca="false">IF(OR(F106&gt;='Cover &amp; Assumptions'!$C$22,Portfolio!I106=1),"Stage 3",IF(OR(F106&gt;=30,D106&gt;'Cover &amp; Assumptions'!$C$21),"Stage 2","Stage 1"))</f>
        <v>Stage 2</v>
      </c>
      <c r="H106" s="16" t="n">
        <f aca="false">IF(G106="Stage 1",12,MIN(Portfolio!H106,60))</f>
        <v>24</v>
      </c>
      <c r="I106" s="24" t="n">
        <f aca="false">1-(1-D106)^(H106/12)</f>
        <v>0.310334740379736</v>
      </c>
      <c r="J106" s="24" t="n">
        <f aca="false">IF(G106="Stage 1",D106,I106)</f>
        <v>0.310334740379736</v>
      </c>
      <c r="K106" s="25" t="n">
        <f aca="false">J106*'Cover &amp; Assumptions'!$D$11*E106*'Cover &amp; Assumptions'!$E$11*C106</f>
        <v>13996.2673992013</v>
      </c>
      <c r="L106" s="25" t="n">
        <f aca="false">J106*'Cover &amp; Assumptions'!$D$12*E106*'Cover &amp; Assumptions'!$E$12*C106</f>
        <v>17332.8388844598</v>
      </c>
      <c r="M106" s="25" t="n">
        <f aca="false">J106*'Cover &amp; Assumptions'!$D$13*E106*'Cover &amp; Assumptions'!$E$13*C106</f>
        <v>30159.13965896</v>
      </c>
      <c r="N106" s="25" t="n">
        <f aca="false">K106*'Cover &amp; Assumptions'!$C$11+L106*'Cover &amp; Assumptions'!$C$12+M106*'Cover &amp; Assumptions'!$C$13</f>
        <v>19872.0997810332</v>
      </c>
    </row>
    <row r="107" customFormat="false" ht="15" hidden="false" customHeight="false" outlineLevel="0" collapsed="false">
      <c r="A107" s="17" t="str">
        <f aca="false">Portfolio!A107</f>
        <v>UKSME-107787</v>
      </c>
      <c r="B107" s="17" t="str">
        <f aca="false">Portfolio!B107</f>
        <v>Transport</v>
      </c>
      <c r="C107" s="21" t="n">
        <f aca="false">Portfolio!D107</f>
        <v>49331</v>
      </c>
      <c r="D107" s="22" t="n">
        <f aca="false">Portfolio!G107</f>
        <v>0.195136542576368</v>
      </c>
      <c r="E107" s="23" t="n">
        <f aca="false">Portfolio!E107</f>
        <v>0.798</v>
      </c>
      <c r="F107" s="17" t="n">
        <f aca="false">Portfolio!F107</f>
        <v>0</v>
      </c>
      <c r="G107" s="16" t="str">
        <f aca="false">IF(OR(F107&gt;='Cover &amp; Assumptions'!$C$22,Portfolio!I107=1),"Stage 3",IF(OR(F107&gt;=30,D107&gt;'Cover &amp; Assumptions'!$C$21),"Stage 2","Stage 1"))</f>
        <v>Stage 2</v>
      </c>
      <c r="H107" s="16" t="n">
        <f aca="false">IF(G107="Stage 1",12,MIN(Portfolio!H107,60))</f>
        <v>48</v>
      </c>
      <c r="I107" s="24" t="n">
        <f aca="false">1-(1-D107)^(H107/12)</f>
        <v>0.580348442162838</v>
      </c>
      <c r="J107" s="24" t="n">
        <f aca="false">IF(G107="Stage 1",D107,I107)</f>
        <v>0.580348442162838</v>
      </c>
      <c r="K107" s="25" t="n">
        <f aca="false">J107*'Cover &amp; Assumptions'!$D$11*E107*'Cover &amp; Assumptions'!$E$11*C107</f>
        <v>18448.2070662808</v>
      </c>
      <c r="L107" s="25" t="n">
        <f aca="false">J107*'Cover &amp; Assumptions'!$D$12*E107*'Cover &amp; Assumptions'!$E$12*C107</f>
        <v>22846.0768622673</v>
      </c>
      <c r="M107" s="25" t="n">
        <f aca="false">J107*'Cover &amp; Assumptions'!$D$13*E107*'Cover &amp; Assumptions'!$E$13*C107</f>
        <v>39752.1737403451</v>
      </c>
      <c r="N107" s="25" t="n">
        <f aca="false">K107*'Cover &amp; Assumptions'!$C$11+L107*'Cover &amp; Assumptions'!$C$12+M107*'Cover &amp; Assumptions'!$C$13</f>
        <v>26193.0271225895</v>
      </c>
    </row>
    <row r="108" customFormat="false" ht="15" hidden="false" customHeight="false" outlineLevel="0" collapsed="false">
      <c r="A108" s="17" t="str">
        <f aca="false">Portfolio!A108</f>
        <v>UKSME-105591</v>
      </c>
      <c r="B108" s="17" t="str">
        <f aca="false">Portfolio!B108</f>
        <v>Professional Services</v>
      </c>
      <c r="C108" s="21" t="n">
        <f aca="false">Portfolio!D108</f>
        <v>31487</v>
      </c>
      <c r="D108" s="22" t="n">
        <f aca="false">Portfolio!G108</f>
        <v>0.0360008674119951</v>
      </c>
      <c r="E108" s="23" t="n">
        <f aca="false">Portfolio!E108</f>
        <v>0.141</v>
      </c>
      <c r="F108" s="17" t="n">
        <f aca="false">Portfolio!F108</f>
        <v>0</v>
      </c>
      <c r="G108" s="16" t="str">
        <f aca="false">IF(OR(F108&gt;='Cover &amp; Assumptions'!$C$22,Portfolio!I108=1),"Stage 3",IF(OR(F108&gt;=30,D108&gt;'Cover &amp; Assumptions'!$C$21),"Stage 2","Stage 1"))</f>
        <v>Stage 1</v>
      </c>
      <c r="H108" s="16" t="n">
        <f aca="false">IF(G108="Stage 1",12,MIN(Portfolio!H108,60))</f>
        <v>12</v>
      </c>
      <c r="I108" s="24" t="n">
        <f aca="false">1-(1-D108)^(H108/12)</f>
        <v>0.0360008674119952</v>
      </c>
      <c r="J108" s="24" t="n">
        <f aca="false">IF(G108="Stage 1",D108,I108)</f>
        <v>0.0360008674119951</v>
      </c>
      <c r="K108" s="25" t="n">
        <f aca="false">J108*'Cover &amp; Assumptions'!$D$11*E108*'Cover &amp; Assumptions'!$E$11*C108</f>
        <v>129.064229388981</v>
      </c>
      <c r="L108" s="25" t="n">
        <f aca="false">J108*'Cover &amp; Assumptions'!$D$12*E108*'Cover &amp; Assumptions'!$E$12*C108</f>
        <v>159.83186302041</v>
      </c>
      <c r="M108" s="25" t="n">
        <f aca="false">J108*'Cover &amp; Assumptions'!$D$13*E108*'Cover &amp; Assumptions'!$E$13*C108</f>
        <v>278.107441655513</v>
      </c>
      <c r="N108" s="25" t="n">
        <f aca="false">K108*'Cover &amp; Assumptions'!$C$11+L108*'Cover &amp; Assumptions'!$C$12+M108*'Cover &amp; Assumptions'!$C$13</f>
        <v>183.2472309529</v>
      </c>
    </row>
    <row r="109" customFormat="false" ht="15" hidden="false" customHeight="false" outlineLevel="0" collapsed="false">
      <c r="A109" s="17" t="str">
        <f aca="false">Portfolio!A109</f>
        <v>UKSME-102434</v>
      </c>
      <c r="B109" s="17" t="str">
        <f aca="false">Portfolio!B109</f>
        <v>Real Estate</v>
      </c>
      <c r="C109" s="21" t="n">
        <f aca="false">Portfolio!D109</f>
        <v>440323</v>
      </c>
      <c r="D109" s="22" t="n">
        <f aca="false">Portfolio!G109</f>
        <v>0.169265946138467</v>
      </c>
      <c r="E109" s="23" t="n">
        <f aca="false">Portfolio!E109</f>
        <v>0.15</v>
      </c>
      <c r="F109" s="17" t="n">
        <f aca="false">Portfolio!F109</f>
        <v>0</v>
      </c>
      <c r="G109" s="16" t="str">
        <f aca="false">IF(OR(F109&gt;='Cover &amp; Assumptions'!$C$22,Portfolio!I109=1),"Stage 3",IF(OR(F109&gt;=30,D109&gt;'Cover &amp; Assumptions'!$C$21),"Stage 2","Stage 1"))</f>
        <v>Stage 2</v>
      </c>
      <c r="H109" s="16" t="n">
        <f aca="false">IF(G109="Stage 1",12,MIN(Portfolio!H109,60))</f>
        <v>60</v>
      </c>
      <c r="I109" s="24" t="n">
        <f aca="false">1-(1-D109)^(H109/12)</f>
        <v>0.604351003795474</v>
      </c>
      <c r="J109" s="24" t="n">
        <f aca="false">IF(G109="Stage 1",D109,I109)</f>
        <v>0.604351003795474</v>
      </c>
      <c r="K109" s="25" t="n">
        <f aca="false">J109*'Cover &amp; Assumptions'!$D$11*E109*'Cover &amp; Assumptions'!$E$11*C109</f>
        <v>32232.5309982329</v>
      </c>
      <c r="L109" s="25" t="n">
        <f aca="false">J109*'Cover &amp; Assumptions'!$D$12*E109*'Cover &amp; Assumptions'!$E$12*C109</f>
        <v>39916.4470566351</v>
      </c>
      <c r="M109" s="25" t="n">
        <f aca="false">J109*'Cover &amp; Assumptions'!$D$13*E109*'Cover &amp; Assumptions'!$E$13*C109</f>
        <v>69454.6178785451</v>
      </c>
      <c r="N109" s="25" t="n">
        <f aca="false">K109*'Cover &amp; Assumptions'!$C$11+L109*'Cover &amp; Assumptions'!$C$12+M109*'Cover &amp; Assumptions'!$C$13</f>
        <v>45764.2065504322</v>
      </c>
    </row>
    <row r="110" customFormat="false" ht="15" hidden="false" customHeight="false" outlineLevel="0" collapsed="false">
      <c r="A110" s="17" t="str">
        <f aca="false">Portfolio!A110</f>
        <v>UKSME-101545</v>
      </c>
      <c r="B110" s="17" t="str">
        <f aca="false">Portfolio!B110</f>
        <v>Professional Services</v>
      </c>
      <c r="C110" s="21" t="n">
        <f aca="false">Portfolio!D110</f>
        <v>63755</v>
      </c>
      <c r="D110" s="22" t="n">
        <f aca="false">Portfolio!G110</f>
        <v>0.230779198790414</v>
      </c>
      <c r="E110" s="23" t="n">
        <f aca="false">Portfolio!E110</f>
        <v>0.438</v>
      </c>
      <c r="F110" s="17" t="n">
        <f aca="false">Portfolio!F110</f>
        <v>0</v>
      </c>
      <c r="G110" s="16" t="str">
        <f aca="false">IF(OR(F110&gt;='Cover &amp; Assumptions'!$C$22,Portfolio!I110=1),"Stage 3",IF(OR(F110&gt;=30,D110&gt;'Cover &amp; Assumptions'!$C$21),"Stage 2","Stage 1"))</f>
        <v>Stage 3</v>
      </c>
      <c r="H110" s="16" t="n">
        <f aca="false">IF(G110="Stage 1",12,MIN(Portfolio!H110,60))</f>
        <v>60</v>
      </c>
      <c r="I110" s="24" t="n">
        <f aca="false">1-(1-D110)^(H110/12)</f>
        <v>0.73068837561131</v>
      </c>
      <c r="J110" s="24" t="n">
        <f aca="false">IF(G110="Stage 1",D110,I110)</f>
        <v>0.73068837561131</v>
      </c>
      <c r="K110" s="25" t="n">
        <f aca="false">J110*'Cover &amp; Assumptions'!$D$11*E110*'Cover &amp; Assumptions'!$E$11*C110</f>
        <v>16476.4289482561</v>
      </c>
      <c r="L110" s="25" t="n">
        <f aca="false">J110*'Cover &amp; Assumptions'!$D$12*E110*'Cover &amp; Assumptions'!$E$12*C110</f>
        <v>20404.2463755494</v>
      </c>
      <c r="M110" s="25" t="n">
        <f aca="false">J110*'Cover &amp; Assumptions'!$D$13*E110*'Cover &amp; Assumptions'!$E$13*C110</f>
        <v>35503.3886934559</v>
      </c>
      <c r="N110" s="25" t="n">
        <f aca="false">K110*'Cover &amp; Assumptions'!$C$11+L110*'Cover &amp; Assumptions'!$C$12+M110*'Cover &amp; Assumptions'!$C$13</f>
        <v>23393.4684695674</v>
      </c>
    </row>
    <row r="111" customFormat="false" ht="15" hidden="false" customHeight="false" outlineLevel="0" collapsed="false">
      <c r="A111" s="17" t="str">
        <f aca="false">Portfolio!A111</f>
        <v>UKSME-102893</v>
      </c>
      <c r="B111" s="17" t="str">
        <f aca="false">Portfolio!B111</f>
        <v>Wholesale</v>
      </c>
      <c r="C111" s="21" t="n">
        <f aca="false">Portfolio!D111</f>
        <v>48077</v>
      </c>
      <c r="D111" s="22" t="n">
        <f aca="false">Portfolio!G111</f>
        <v>0.177706414194035</v>
      </c>
      <c r="E111" s="23" t="n">
        <f aca="false">Portfolio!E111</f>
        <v>0.464</v>
      </c>
      <c r="F111" s="17" t="n">
        <f aca="false">Portfolio!F111</f>
        <v>0</v>
      </c>
      <c r="G111" s="16" t="str">
        <f aca="false">IF(OR(F111&gt;='Cover &amp; Assumptions'!$C$22,Portfolio!I111=1),"Stage 3",IF(OR(F111&gt;=30,D111&gt;'Cover &amp; Assumptions'!$C$21),"Stage 2","Stage 1"))</f>
        <v>Stage 2</v>
      </c>
      <c r="H111" s="16" t="n">
        <f aca="false">IF(G111="Stage 1",12,MIN(Portfolio!H111,60))</f>
        <v>60</v>
      </c>
      <c r="I111" s="24" t="n">
        <f aca="false">1-(1-D111)^(H111/12)</f>
        <v>0.624046170390298</v>
      </c>
      <c r="J111" s="24" t="n">
        <f aca="false">IF(G111="Stage 1",D111,I111)</f>
        <v>0.624046170390298</v>
      </c>
      <c r="K111" s="25" t="n">
        <f aca="false">J111*'Cover &amp; Assumptions'!$D$11*E111*'Cover &amp; Assumptions'!$E$11*C111</f>
        <v>11241.2496745205</v>
      </c>
      <c r="L111" s="25" t="n">
        <f aca="false">J111*'Cover &amp; Assumptions'!$D$12*E111*'Cover &amp; Assumptions'!$E$12*C111</f>
        <v>13921.0522285084</v>
      </c>
      <c r="M111" s="25" t="n">
        <f aca="false">J111*'Cover &amp; Assumptions'!$D$13*E111*'Cover &amp; Assumptions'!$E$13*C111</f>
        <v>24222.6308776046</v>
      </c>
      <c r="N111" s="25" t="n">
        <f aca="false">K111*'Cover &amp; Assumptions'!$C$11+L111*'Cover &amp; Assumptions'!$C$12+M111*'Cover &amp; Assumptions'!$C$13</f>
        <v>15960.4863799849</v>
      </c>
    </row>
    <row r="112" customFormat="false" ht="15" hidden="false" customHeight="false" outlineLevel="0" collapsed="false">
      <c r="A112" s="17" t="str">
        <f aca="false">Portfolio!A112</f>
        <v>UKSME-103817</v>
      </c>
      <c r="B112" s="17" t="str">
        <f aca="false">Portfolio!B112</f>
        <v>Healthcare</v>
      </c>
      <c r="C112" s="21" t="n">
        <f aca="false">Portfolio!D112</f>
        <v>76383</v>
      </c>
      <c r="D112" s="22" t="n">
        <f aca="false">Portfolio!G112</f>
        <v>0.0066200738505861</v>
      </c>
      <c r="E112" s="23" t="n">
        <f aca="false">Portfolio!E112</f>
        <v>0.932</v>
      </c>
      <c r="F112" s="17" t="n">
        <f aca="false">Portfolio!F112</f>
        <v>0</v>
      </c>
      <c r="G112" s="16" t="str">
        <f aca="false">IF(OR(F112&gt;='Cover &amp; Assumptions'!$C$22,Portfolio!I112=1),"Stage 3",IF(OR(F112&gt;=30,D112&gt;'Cover &amp; Assumptions'!$C$21),"Stage 2","Stage 1"))</f>
        <v>Stage 1</v>
      </c>
      <c r="H112" s="16" t="n">
        <f aca="false">IF(G112="Stage 1",12,MIN(Portfolio!H112,60))</f>
        <v>12</v>
      </c>
      <c r="I112" s="24" t="n">
        <f aca="false">1-(1-D112)^(H112/12)</f>
        <v>0.00662007385058605</v>
      </c>
      <c r="J112" s="24" t="n">
        <f aca="false">IF(G112="Stage 1",D112,I112)</f>
        <v>0.0066200738505861</v>
      </c>
      <c r="K112" s="25" t="n">
        <f aca="false">J112*'Cover &amp; Assumptions'!$D$11*E112*'Cover &amp; Assumptions'!$E$11*C112</f>
        <v>380.555487948395</v>
      </c>
      <c r="L112" s="25" t="n">
        <f aca="false">J112*'Cover &amp; Assumptions'!$D$12*E112*'Cover &amp; Assumptions'!$E$12*C112</f>
        <v>471.276146066124</v>
      </c>
      <c r="M112" s="25" t="n">
        <f aca="false">J112*'Cover &amp; Assumptions'!$D$13*E112*'Cover &amp; Assumptions'!$E$13*C112</f>
        <v>820.020494155056</v>
      </c>
      <c r="N112" s="25" t="n">
        <f aca="false">K112*'Cover &amp; Assumptions'!$C$11+L112*'Cover &amp; Assumptions'!$C$12+M112*'Cover &amp; Assumptions'!$C$13</f>
        <v>540.318101464812</v>
      </c>
    </row>
    <row r="113" customFormat="false" ht="15" hidden="false" customHeight="false" outlineLevel="0" collapsed="false">
      <c r="A113" s="17" t="str">
        <f aca="false">Portfolio!A113</f>
        <v>UKSME-101195</v>
      </c>
      <c r="B113" s="17" t="str">
        <f aca="false">Portfolio!B113</f>
        <v>Professional Services</v>
      </c>
      <c r="C113" s="21" t="n">
        <f aca="false">Portfolio!D113</f>
        <v>73397</v>
      </c>
      <c r="D113" s="22" t="n">
        <f aca="false">Portfolio!G113</f>
        <v>0.228756743055136</v>
      </c>
      <c r="E113" s="23" t="n">
        <f aca="false">Portfolio!E113</f>
        <v>0.95</v>
      </c>
      <c r="F113" s="17" t="n">
        <f aca="false">Portfolio!F113</f>
        <v>0</v>
      </c>
      <c r="G113" s="16" t="str">
        <f aca="false">IF(OR(F113&gt;='Cover &amp; Assumptions'!$C$22,Portfolio!I113=1),"Stage 3",IF(OR(F113&gt;=30,D113&gt;'Cover &amp; Assumptions'!$C$21),"Stage 2","Stage 1"))</f>
        <v>Stage 2</v>
      </c>
      <c r="H113" s="16" t="n">
        <f aca="false">IF(G113="Stage 1",12,MIN(Portfolio!H113,60))</f>
        <v>36</v>
      </c>
      <c r="I113" s="24" t="n">
        <f aca="false">1-(1-D113)^(H113/12)</f>
        <v>0.541252046411593</v>
      </c>
      <c r="J113" s="24" t="n">
        <f aca="false">IF(G113="Stage 1",D113,I113)</f>
        <v>0.541252046411593</v>
      </c>
      <c r="K113" s="25" t="n">
        <f aca="false">J113*'Cover &amp; Assumptions'!$D$11*E113*'Cover &amp; Assumptions'!$E$11*C113</f>
        <v>30475.0198220681</v>
      </c>
      <c r="L113" s="25" t="n">
        <f aca="false">J113*'Cover &amp; Assumptions'!$D$12*E113*'Cover &amp; Assumptions'!$E$12*C113</f>
        <v>37739.9626279481</v>
      </c>
      <c r="M113" s="25" t="n">
        <f aca="false">J113*'Cover &amp; Assumptions'!$D$13*E113*'Cover &amp; Assumptions'!$E$13*C113</f>
        <v>65667.5349726297</v>
      </c>
      <c r="N113" s="25" t="n">
        <f aca="false">K113*'Cover &amp; Assumptions'!$C$11+L113*'Cover &amp; Assumptions'!$C$12+M113*'Cover &amp; Assumptions'!$C$13</f>
        <v>43268.8671529425</v>
      </c>
    </row>
    <row r="114" customFormat="false" ht="15" hidden="false" customHeight="false" outlineLevel="0" collapsed="false">
      <c r="A114" s="17" t="str">
        <f aca="false">Portfolio!A114</f>
        <v>UKSME-108003</v>
      </c>
      <c r="B114" s="17" t="str">
        <f aca="false">Portfolio!B114</f>
        <v>Technology</v>
      </c>
      <c r="C114" s="21" t="n">
        <f aca="false">Portfolio!D114</f>
        <v>274974</v>
      </c>
      <c r="D114" s="22" t="n">
        <f aca="false">Portfolio!G114</f>
        <v>0.104505303187345</v>
      </c>
      <c r="E114" s="23" t="n">
        <f aca="false">Portfolio!E114</f>
        <v>0.856</v>
      </c>
      <c r="F114" s="17" t="n">
        <f aca="false">Portfolio!F114</f>
        <v>5</v>
      </c>
      <c r="G114" s="16" t="str">
        <f aca="false">IF(OR(F114&gt;='Cover &amp; Assumptions'!$C$22,Portfolio!I114=1),"Stage 3",IF(OR(F114&gt;=30,D114&gt;'Cover &amp; Assumptions'!$C$21),"Stage 2","Stage 1"))</f>
        <v>Stage 1</v>
      </c>
      <c r="H114" s="16" t="n">
        <f aca="false">IF(G114="Stage 1",12,MIN(Portfolio!H114,60))</f>
        <v>12</v>
      </c>
      <c r="I114" s="24" t="n">
        <f aca="false">1-(1-D114)^(H114/12)</f>
        <v>0.104505303187345</v>
      </c>
      <c r="J114" s="24" t="n">
        <f aca="false">IF(G114="Stage 1",D114,I114)</f>
        <v>0.104505303187345</v>
      </c>
      <c r="K114" s="25" t="n">
        <f aca="false">J114*'Cover &amp; Assumptions'!$D$11*E114*'Cover &amp; Assumptions'!$E$11*C114</f>
        <v>19863.0646689707</v>
      </c>
      <c r="L114" s="25" t="n">
        <f aca="false">J114*'Cover &amp; Assumptions'!$D$12*E114*'Cover &amp; Assumptions'!$E$12*C114</f>
        <v>24598.2225002733</v>
      </c>
      <c r="M114" s="25" t="n">
        <f aca="false">J114*'Cover &amp; Assumptions'!$D$13*E114*'Cover &amp; Assumptions'!$E$13*C114</f>
        <v>42800.9071504755</v>
      </c>
      <c r="N114" s="25" t="n">
        <f aca="false">K114*'Cover &amp; Assumptions'!$C$11+L114*'Cover &amp; Assumptions'!$C$12+M114*'Cover &amp; Assumptions'!$C$13</f>
        <v>28201.8620965633</v>
      </c>
    </row>
    <row r="115" customFormat="false" ht="15" hidden="false" customHeight="false" outlineLevel="0" collapsed="false">
      <c r="A115" s="17" t="str">
        <f aca="false">Portfolio!A115</f>
        <v>UKSME-103448</v>
      </c>
      <c r="B115" s="17" t="str">
        <f aca="false">Portfolio!B115</f>
        <v>Healthcare</v>
      </c>
      <c r="C115" s="21" t="n">
        <f aca="false">Portfolio!D115</f>
        <v>89439</v>
      </c>
      <c r="D115" s="22" t="n">
        <f aca="false">Portfolio!G115</f>
        <v>0.251728316326518</v>
      </c>
      <c r="E115" s="23" t="n">
        <f aca="false">Portfolio!E115</f>
        <v>0.57</v>
      </c>
      <c r="F115" s="17" t="n">
        <f aca="false">Portfolio!F115</f>
        <v>15</v>
      </c>
      <c r="G115" s="16" t="str">
        <f aca="false">IF(OR(F115&gt;='Cover &amp; Assumptions'!$C$22,Portfolio!I115=1),"Stage 3",IF(OR(F115&gt;=30,D115&gt;'Cover &amp; Assumptions'!$C$21),"Stage 2","Stage 1"))</f>
        <v>Stage 3</v>
      </c>
      <c r="H115" s="16" t="n">
        <f aca="false">IF(G115="Stage 1",12,MIN(Portfolio!H115,60))</f>
        <v>60</v>
      </c>
      <c r="I115" s="24" t="n">
        <f aca="false">1-(1-D115)^(H115/12)</f>
        <v>0.765416990212236</v>
      </c>
      <c r="J115" s="24" t="n">
        <f aca="false">IF(G115="Stage 1",D115,I115)</f>
        <v>0.765416990212236</v>
      </c>
      <c r="K115" s="25" t="n">
        <f aca="false">J115*'Cover &amp; Assumptions'!$D$11*E115*'Cover &amp; Assumptions'!$E$11*C115</f>
        <v>31509.565872094</v>
      </c>
      <c r="L115" s="25" t="n">
        <f aca="false">J115*'Cover &amp; Assumptions'!$D$12*E115*'Cover &amp; Assumptions'!$E$12*C115</f>
        <v>39021.1342069275</v>
      </c>
      <c r="M115" s="25" t="n">
        <f aca="false">J115*'Cover &amp; Assumptions'!$D$13*E115*'Cover &amp; Assumptions'!$E$13*C115</f>
        <v>67896.7735200539</v>
      </c>
      <c r="N115" s="25" t="n">
        <f aca="false">K115*'Cover &amp; Assumptions'!$C$11+L115*'Cover &amp; Assumptions'!$C$12+M115*'Cover &amp; Assumptions'!$C$13</f>
        <v>44737.7303682424</v>
      </c>
    </row>
    <row r="116" customFormat="false" ht="15" hidden="false" customHeight="false" outlineLevel="0" collapsed="false">
      <c r="A116" s="17" t="str">
        <f aca="false">Portfolio!A116</f>
        <v>UKSME-101435</v>
      </c>
      <c r="B116" s="17" t="str">
        <f aca="false">Portfolio!B116</f>
        <v>Professional Services</v>
      </c>
      <c r="C116" s="21" t="n">
        <f aca="false">Portfolio!D116</f>
        <v>43305</v>
      </c>
      <c r="D116" s="22" t="n">
        <f aca="false">Portfolio!G116</f>
        <v>0.137492295491502</v>
      </c>
      <c r="E116" s="23" t="n">
        <f aca="false">Portfolio!E116</f>
        <v>0.216</v>
      </c>
      <c r="F116" s="17" t="n">
        <f aca="false">Portfolio!F116</f>
        <v>0</v>
      </c>
      <c r="G116" s="16" t="str">
        <f aca="false">IF(OR(F116&gt;='Cover &amp; Assumptions'!$C$22,Portfolio!I116=1),"Stage 3",IF(OR(F116&gt;=30,D116&gt;'Cover &amp; Assumptions'!$C$21),"Stage 2","Stage 1"))</f>
        <v>Stage 1</v>
      </c>
      <c r="H116" s="16" t="n">
        <f aca="false">IF(G116="Stage 1",12,MIN(Portfolio!H116,60))</f>
        <v>12</v>
      </c>
      <c r="I116" s="24" t="n">
        <f aca="false">1-(1-D116)^(H116/12)</f>
        <v>0.137492295491502</v>
      </c>
      <c r="J116" s="24" t="n">
        <f aca="false">IF(G116="Stage 1",D116,I116)</f>
        <v>0.137492295491502</v>
      </c>
      <c r="K116" s="25" t="n">
        <f aca="false">J116*'Cover &amp; Assumptions'!$D$11*E116*'Cover &amp; Assumptions'!$E$11*C116</f>
        <v>1038.51479460878</v>
      </c>
      <c r="L116" s="25" t="n">
        <f aca="false">J116*'Cover &amp; Assumptions'!$D$12*E116*'Cover &amp; Assumptions'!$E$12*C116</f>
        <v>1286.08643295205</v>
      </c>
      <c r="M116" s="25" t="n">
        <f aca="false">J116*'Cover &amp; Assumptions'!$D$13*E116*'Cover &amp; Assumptions'!$E$13*C116</f>
        <v>2237.79039333657</v>
      </c>
      <c r="N116" s="25" t="n">
        <f aca="false">K116*'Cover &amp; Assumptions'!$C$11+L116*'Cover &amp; Assumptions'!$C$12+M116*'Cover &amp; Assumptions'!$C$13</f>
        <v>1474.49809537953</v>
      </c>
    </row>
    <row r="117" customFormat="false" ht="15" hidden="false" customHeight="false" outlineLevel="0" collapsed="false">
      <c r="A117" s="17" t="str">
        <f aca="false">Portfolio!A117</f>
        <v>UKSME-109473</v>
      </c>
      <c r="B117" s="17" t="str">
        <f aca="false">Portfolio!B117</f>
        <v>Professional Services</v>
      </c>
      <c r="C117" s="21" t="n">
        <f aca="false">Portfolio!D117</f>
        <v>36471</v>
      </c>
      <c r="D117" s="22" t="n">
        <f aca="false">Portfolio!G117</f>
        <v>0.290121124104904</v>
      </c>
      <c r="E117" s="23" t="n">
        <f aca="false">Portfolio!E117</f>
        <v>0.773</v>
      </c>
      <c r="F117" s="17" t="n">
        <f aca="false">Portfolio!F117</f>
        <v>0</v>
      </c>
      <c r="G117" s="16" t="str">
        <f aca="false">IF(OR(F117&gt;='Cover &amp; Assumptions'!$C$22,Portfolio!I117=1),"Stage 3",IF(OR(F117&gt;=30,D117&gt;'Cover &amp; Assumptions'!$C$21),"Stage 2","Stage 1"))</f>
        <v>Stage 3</v>
      </c>
      <c r="H117" s="16" t="n">
        <f aca="false">IF(G117="Stage 1",12,MIN(Portfolio!H117,60))</f>
        <v>24</v>
      </c>
      <c r="I117" s="24" t="n">
        <f aca="false">1-(1-D117)^(H117/12)</f>
        <v>0.496071981557914</v>
      </c>
      <c r="J117" s="24" t="n">
        <f aca="false">IF(G117="Stage 1",D117,I117)</f>
        <v>0.496071981557914</v>
      </c>
      <c r="K117" s="25" t="n">
        <f aca="false">J117*'Cover &amp; Assumptions'!$D$11*E117*'Cover &amp; Assumptions'!$E$11*C117</f>
        <v>11293.1317510296</v>
      </c>
      <c r="L117" s="25" t="n">
        <f aca="false">J117*'Cover &amp; Assumptions'!$D$12*E117*'Cover &amp; Assumptions'!$E$12*C117</f>
        <v>13985.3024780552</v>
      </c>
      <c r="M117" s="25" t="n">
        <f aca="false">J117*'Cover &amp; Assumptions'!$D$13*E117*'Cover &amp; Assumptions'!$E$13*C117</f>
        <v>24334.426311816</v>
      </c>
      <c r="N117" s="25" t="n">
        <f aca="false">K117*'Cover &amp; Assumptions'!$C$11+L117*'Cover &amp; Assumptions'!$C$12+M117*'Cover &amp; Assumptions'!$C$13</f>
        <v>16034.1492910903</v>
      </c>
    </row>
    <row r="118" customFormat="false" ht="15" hidden="false" customHeight="false" outlineLevel="0" collapsed="false">
      <c r="A118" s="17" t="str">
        <f aca="false">Portfolio!A118</f>
        <v>UKSME-108436</v>
      </c>
      <c r="B118" s="17" t="str">
        <f aca="false">Portfolio!B118</f>
        <v>Technology</v>
      </c>
      <c r="C118" s="21" t="n">
        <f aca="false">Portfolio!D118</f>
        <v>126861</v>
      </c>
      <c r="D118" s="22" t="n">
        <f aca="false">Portfolio!G118</f>
        <v>0.103274313643417</v>
      </c>
      <c r="E118" s="23" t="n">
        <f aca="false">Portfolio!E118</f>
        <v>0.697</v>
      </c>
      <c r="F118" s="17" t="n">
        <f aca="false">Portfolio!F118</f>
        <v>5</v>
      </c>
      <c r="G118" s="16" t="str">
        <f aca="false">IF(OR(F118&gt;='Cover &amp; Assumptions'!$C$22,Portfolio!I118=1),"Stage 3",IF(OR(F118&gt;=30,D118&gt;'Cover &amp; Assumptions'!$C$21),"Stage 2","Stage 1"))</f>
        <v>Stage 1</v>
      </c>
      <c r="H118" s="16" t="n">
        <f aca="false">IF(G118="Stage 1",12,MIN(Portfolio!H118,60))</f>
        <v>12</v>
      </c>
      <c r="I118" s="24" t="n">
        <f aca="false">1-(1-D118)^(H118/12)</f>
        <v>0.103274313643417</v>
      </c>
      <c r="J118" s="24" t="n">
        <f aca="false">IF(G118="Stage 1",D118,I118)</f>
        <v>0.103274313643417</v>
      </c>
      <c r="K118" s="25" t="n">
        <f aca="false">J118*'Cover &amp; Assumptions'!$D$11*E118*'Cover &amp; Assumptions'!$E$11*C118</f>
        <v>7373.87475608886</v>
      </c>
      <c r="L118" s="25" t="n">
        <f aca="false">J118*'Cover &amp; Assumptions'!$D$12*E118*'Cover &amp; Assumptions'!$E$12*C118</f>
        <v>9131.73344407289</v>
      </c>
      <c r="M118" s="25" t="n">
        <f aca="false">J118*'Cover &amp; Assumptions'!$D$13*E118*'Cover &amp; Assumptions'!$E$13*C118</f>
        <v>15889.2161926868</v>
      </c>
      <c r="N118" s="25" t="n">
        <f aca="false">K118*'Cover &amp; Assumptions'!$C$11+L118*'Cover &amp; Assumptions'!$C$12+M118*'Cover &amp; Assumptions'!$C$13</f>
        <v>10469.5323936296</v>
      </c>
    </row>
    <row r="119" customFormat="false" ht="15" hidden="false" customHeight="false" outlineLevel="0" collapsed="false">
      <c r="A119" s="17" t="str">
        <f aca="false">Portfolio!A119</f>
        <v>UKSME-103029</v>
      </c>
      <c r="B119" s="17" t="str">
        <f aca="false">Portfolio!B119</f>
        <v>Construction</v>
      </c>
      <c r="C119" s="21" t="n">
        <f aca="false">Portfolio!D119</f>
        <v>48875</v>
      </c>
      <c r="D119" s="22" t="n">
        <f aca="false">Portfolio!G119</f>
        <v>0.197563982924195</v>
      </c>
      <c r="E119" s="23" t="n">
        <f aca="false">Portfolio!E119</f>
        <v>0.794</v>
      </c>
      <c r="F119" s="17" t="n">
        <f aca="false">Portfolio!F119</f>
        <v>0</v>
      </c>
      <c r="G119" s="16" t="str">
        <f aca="false">IF(OR(F119&gt;='Cover &amp; Assumptions'!$C$22,Portfolio!I119=1),"Stage 3",IF(OR(F119&gt;=30,D119&gt;'Cover &amp; Assumptions'!$C$21),"Stage 2","Stage 1"))</f>
        <v>Stage 2</v>
      </c>
      <c r="H119" s="16" t="n">
        <f aca="false">IF(G119="Stage 1",12,MIN(Portfolio!H119,60))</f>
        <v>60</v>
      </c>
      <c r="I119" s="24" t="n">
        <f aca="false">1-(1-D119)^(H119/12)</f>
        <v>0.66730056137346</v>
      </c>
      <c r="J119" s="24" t="n">
        <f aca="false">IF(G119="Stage 1",D119,I119)</f>
        <v>0.66730056137346</v>
      </c>
      <c r="K119" s="25" t="n">
        <f aca="false">J119*'Cover &amp; Assumptions'!$D$11*E119*'Cover &amp; Assumptions'!$E$11*C119</f>
        <v>20910.8310935142</v>
      </c>
      <c r="L119" s="25" t="n">
        <f aca="false">J119*'Cover &amp; Assumptions'!$D$12*E119*'Cover &amp; Assumptions'!$E$12*C119</f>
        <v>25895.7660600795</v>
      </c>
      <c r="M119" s="25" t="n">
        <f aca="false">J119*'Cover &amp; Assumptions'!$D$13*E119*'Cover &amp; Assumptions'!$E$13*C119</f>
        <v>45058.6329445384</v>
      </c>
      <c r="N119" s="25" t="n">
        <f aca="false">K119*'Cover &amp; Assumptions'!$C$11+L119*'Cover &amp; Assumptions'!$C$12+M119*'Cover &amp; Assumptions'!$C$13</f>
        <v>29689.4957878812</v>
      </c>
    </row>
    <row r="120" customFormat="false" ht="15" hidden="false" customHeight="false" outlineLevel="0" collapsed="false">
      <c r="A120" s="17" t="str">
        <f aca="false">Portfolio!A120</f>
        <v>UKSME-106354</v>
      </c>
      <c r="B120" s="17" t="str">
        <f aca="false">Portfolio!B120</f>
        <v>Hospitality</v>
      </c>
      <c r="C120" s="21" t="n">
        <f aca="false">Portfolio!D120</f>
        <v>225925</v>
      </c>
      <c r="D120" s="22" t="n">
        <f aca="false">Portfolio!G120</f>
        <v>0.320637251686752</v>
      </c>
      <c r="E120" s="23" t="n">
        <f aca="false">Portfolio!E120</f>
        <v>0.673</v>
      </c>
      <c r="F120" s="17" t="n">
        <f aca="false">Portfolio!F120</f>
        <v>5</v>
      </c>
      <c r="G120" s="16" t="str">
        <f aca="false">IF(OR(F120&gt;='Cover &amp; Assumptions'!$C$22,Portfolio!I120=1),"Stage 3",IF(OR(F120&gt;=30,D120&gt;'Cover &amp; Assumptions'!$C$21),"Stage 2","Stage 1"))</f>
        <v>Stage 2</v>
      </c>
      <c r="H120" s="16" t="n">
        <f aca="false">IF(G120="Stage 1",12,MIN(Portfolio!H120,60))</f>
        <v>36</v>
      </c>
      <c r="I120" s="24" t="n">
        <f aca="false">1-(1-D120)^(H120/12)</f>
        <v>0.686451167375631</v>
      </c>
      <c r="J120" s="24" t="n">
        <f aca="false">IF(G120="Stage 1",D120,I120)</f>
        <v>0.686451167375631</v>
      </c>
      <c r="K120" s="25" t="n">
        <f aca="false">J120*'Cover &amp; Assumptions'!$D$11*E120*'Cover &amp; Assumptions'!$E$11*C120</f>
        <v>84281.3598340065</v>
      </c>
      <c r="L120" s="25" t="n">
        <f aca="false">J120*'Cover &amp; Assumptions'!$D$12*E120*'Cover &amp; Assumptions'!$E$12*C120</f>
        <v>104373.201032825</v>
      </c>
      <c r="M120" s="25" t="n">
        <f aca="false">J120*'Cover &amp; Assumptions'!$D$13*E120*'Cover &amp; Assumptions'!$E$13*C120</f>
        <v>181609.369797116</v>
      </c>
      <c r="N120" s="25" t="n">
        <f aca="false">K120*'Cover &amp; Assumptions'!$C$11+L120*'Cover &amp; Assumptions'!$C$12+M120*'Cover &amp; Assumptions'!$C$13</f>
        <v>119663.874984134</v>
      </c>
    </row>
    <row r="121" customFormat="false" ht="15" hidden="false" customHeight="false" outlineLevel="0" collapsed="false">
      <c r="A121" s="17" t="str">
        <f aca="false">Portfolio!A121</f>
        <v>UKSME-103774</v>
      </c>
      <c r="B121" s="17" t="str">
        <f aca="false">Portfolio!B121</f>
        <v>Transport</v>
      </c>
      <c r="C121" s="21" t="n">
        <f aca="false">Portfolio!D121</f>
        <v>69529</v>
      </c>
      <c r="D121" s="22" t="n">
        <f aca="false">Portfolio!G121</f>
        <v>0.103188539637031</v>
      </c>
      <c r="E121" s="23" t="n">
        <f aca="false">Portfolio!E121</f>
        <v>0.13</v>
      </c>
      <c r="F121" s="17" t="n">
        <f aca="false">Portfolio!F121</f>
        <v>0</v>
      </c>
      <c r="G121" s="16" t="str">
        <f aca="false">IF(OR(F121&gt;='Cover &amp; Assumptions'!$C$22,Portfolio!I121=1),"Stage 3",IF(OR(F121&gt;=30,D121&gt;'Cover &amp; Assumptions'!$C$21),"Stage 2","Stage 1"))</f>
        <v>Stage 1</v>
      </c>
      <c r="H121" s="16" t="n">
        <f aca="false">IF(G121="Stage 1",12,MIN(Portfolio!H121,60))</f>
        <v>12</v>
      </c>
      <c r="I121" s="24" t="n">
        <f aca="false">1-(1-D121)^(H121/12)</f>
        <v>0.10318853963703</v>
      </c>
      <c r="J121" s="24" t="n">
        <f aca="false">IF(G121="Stage 1",D121,I121)</f>
        <v>0.103188539637031</v>
      </c>
      <c r="K121" s="25" t="n">
        <f aca="false">J121*'Cover &amp; Assumptions'!$D$11*E121*'Cover &amp; Assumptions'!$E$11*C121</f>
        <v>753.153212205114</v>
      </c>
      <c r="L121" s="25" t="n">
        <f aca="false">J121*'Cover &amp; Assumptions'!$D$12*E121*'Cover &amp; Assumptions'!$E$12*C121</f>
        <v>932.697476415002</v>
      </c>
      <c r="M121" s="25" t="n">
        <f aca="false">J121*'Cover &amp; Assumptions'!$D$13*E121*'Cover &amp; Assumptions'!$E$13*C121</f>
        <v>1622.8936089621</v>
      </c>
      <c r="N121" s="25" t="n">
        <f aca="false">K121*'Cover &amp; Assumptions'!$C$11+L121*'Cover &amp; Assumptions'!$C$12+M121*'Cover &amp; Assumptions'!$C$13</f>
        <v>1069.3376567098</v>
      </c>
    </row>
    <row r="122" customFormat="false" ht="15" hidden="false" customHeight="false" outlineLevel="0" collapsed="false">
      <c r="A122" s="17" t="str">
        <f aca="false">Portfolio!A122</f>
        <v>UKSME-108922</v>
      </c>
      <c r="B122" s="17" t="str">
        <f aca="false">Portfolio!B122</f>
        <v>Professional Services</v>
      </c>
      <c r="C122" s="21" t="n">
        <f aca="false">Portfolio!D122</f>
        <v>660346</v>
      </c>
      <c r="D122" s="22" t="n">
        <f aca="false">Portfolio!G122</f>
        <v>0.183359663911477</v>
      </c>
      <c r="E122" s="23" t="n">
        <f aca="false">Portfolio!E122</f>
        <v>0.537</v>
      </c>
      <c r="F122" s="17" t="n">
        <f aca="false">Portfolio!F122</f>
        <v>0</v>
      </c>
      <c r="G122" s="16" t="str">
        <f aca="false">IF(OR(F122&gt;='Cover &amp; Assumptions'!$C$22,Portfolio!I122=1),"Stage 3",IF(OR(F122&gt;=30,D122&gt;'Cover &amp; Assumptions'!$C$21),"Stage 2","Stage 1"))</f>
        <v>Stage 2</v>
      </c>
      <c r="H122" s="16" t="n">
        <f aca="false">IF(G122="Stage 1",12,MIN(Portfolio!H122,60))</f>
        <v>60</v>
      </c>
      <c r="I122" s="24" t="n">
        <f aca="false">1-(1-D122)^(H122/12)</f>
        <v>0.636793062277114</v>
      </c>
      <c r="J122" s="24" t="n">
        <f aca="false">IF(G122="Stage 1",D122,I122)</f>
        <v>0.636793062277114</v>
      </c>
      <c r="K122" s="25" t="n">
        <f aca="false">J122*'Cover &amp; Assumptions'!$D$11*E122*'Cover &amp; Assumptions'!$E$11*C122</f>
        <v>182341.990504626</v>
      </c>
      <c r="L122" s="25" t="n">
        <f aca="false">J122*'Cover &amp; Assumptions'!$D$12*E122*'Cover &amp; Assumptions'!$E$12*C122</f>
        <v>225810.514556812</v>
      </c>
      <c r="M122" s="25" t="n">
        <f aca="false">J122*'Cover &amp; Assumptions'!$D$13*E122*'Cover &amp; Assumptions'!$E$13*C122</f>
        <v>392910.295328853</v>
      </c>
      <c r="N122" s="25" t="n">
        <f aca="false">K122*'Cover &amp; Assumptions'!$C$11+L122*'Cover &amp; Assumptions'!$C$12+M122*'Cover &amp; Assumptions'!$C$13</f>
        <v>258891.754939385</v>
      </c>
    </row>
    <row r="123" customFormat="false" ht="15" hidden="false" customHeight="false" outlineLevel="0" collapsed="false">
      <c r="A123" s="17" t="str">
        <f aca="false">Portfolio!A123</f>
        <v>UKSME-100036</v>
      </c>
      <c r="B123" s="17" t="str">
        <f aca="false">Portfolio!B123</f>
        <v>Technology</v>
      </c>
      <c r="C123" s="21" t="n">
        <f aca="false">Portfolio!D123</f>
        <v>44922</v>
      </c>
      <c r="D123" s="22" t="n">
        <f aca="false">Portfolio!G123</f>
        <v>0.0953289128796513</v>
      </c>
      <c r="E123" s="23" t="n">
        <f aca="false">Portfolio!E123</f>
        <v>0.334</v>
      </c>
      <c r="F123" s="17" t="n">
        <f aca="false">Portfolio!F123</f>
        <v>0</v>
      </c>
      <c r="G123" s="16" t="str">
        <f aca="false">IF(OR(F123&gt;='Cover &amp; Assumptions'!$C$22,Portfolio!I123=1),"Stage 3",IF(OR(F123&gt;=30,D123&gt;'Cover &amp; Assumptions'!$C$21),"Stage 2","Stage 1"))</f>
        <v>Stage 1</v>
      </c>
      <c r="H123" s="16" t="n">
        <f aca="false">IF(G123="Stage 1",12,MIN(Portfolio!H123,60))</f>
        <v>12</v>
      </c>
      <c r="I123" s="24" t="n">
        <f aca="false">1-(1-D123)^(H123/12)</f>
        <v>0.0953289128796513</v>
      </c>
      <c r="J123" s="24" t="n">
        <f aca="false">IF(G123="Stage 1",D123,I123)</f>
        <v>0.0953289128796513</v>
      </c>
      <c r="K123" s="25" t="n">
        <f aca="false">J123*'Cover &amp; Assumptions'!$D$11*E123*'Cover &amp; Assumptions'!$E$11*C123</f>
        <v>1154.97536678233</v>
      </c>
      <c r="L123" s="25" t="n">
        <f aca="false">J123*'Cover &amp; Assumptions'!$D$12*E123*'Cover &amp; Assumptions'!$E$12*C123</f>
        <v>1430.31005174282</v>
      </c>
      <c r="M123" s="25" t="n">
        <f aca="false">J123*'Cover &amp; Assumptions'!$D$13*E123*'Cover &amp; Assumptions'!$E$13*C123</f>
        <v>2488.7394900325</v>
      </c>
      <c r="N123" s="25" t="n">
        <f aca="false">K123*'Cover &amp; Assumptions'!$C$11+L123*'Cover &amp; Assumptions'!$C$12+M123*'Cover &amp; Assumptions'!$C$13</f>
        <v>1639.85047432314</v>
      </c>
    </row>
    <row r="124" customFormat="false" ht="15" hidden="false" customHeight="false" outlineLevel="0" collapsed="false">
      <c r="A124" s="17" t="str">
        <f aca="false">Portfolio!A124</f>
        <v>UKSME-103552</v>
      </c>
      <c r="B124" s="17" t="str">
        <f aca="false">Portfolio!B124</f>
        <v>Manufacturing</v>
      </c>
      <c r="C124" s="21" t="n">
        <f aca="false">Portfolio!D124</f>
        <v>58540</v>
      </c>
      <c r="D124" s="22" t="n">
        <f aca="false">Portfolio!G124</f>
        <v>0.0897734534489235</v>
      </c>
      <c r="E124" s="23" t="n">
        <f aca="false">Portfolio!E124</f>
        <v>0.814</v>
      </c>
      <c r="F124" s="17" t="n">
        <f aca="false">Portfolio!F124</f>
        <v>0</v>
      </c>
      <c r="G124" s="16" t="str">
        <f aca="false">IF(OR(F124&gt;='Cover &amp; Assumptions'!$C$22,Portfolio!I124=1),"Stage 3",IF(OR(F124&gt;=30,D124&gt;'Cover &amp; Assumptions'!$C$21),"Stage 2","Stage 1"))</f>
        <v>Stage 1</v>
      </c>
      <c r="H124" s="16" t="n">
        <f aca="false">IF(G124="Stage 1",12,MIN(Portfolio!H124,60))</f>
        <v>12</v>
      </c>
      <c r="I124" s="24" t="n">
        <f aca="false">1-(1-D124)^(H124/12)</f>
        <v>0.0897734534489235</v>
      </c>
      <c r="J124" s="24" t="n">
        <f aca="false">IF(G124="Stage 1",D124,I124)</f>
        <v>0.0897734534489235</v>
      </c>
      <c r="K124" s="25" t="n">
        <f aca="false">J124*'Cover &amp; Assumptions'!$D$11*E124*'Cover &amp; Assumptions'!$E$11*C124</f>
        <v>3454.35992101858</v>
      </c>
      <c r="L124" s="25" t="n">
        <f aca="false">J124*'Cover &amp; Assumptions'!$D$12*E124*'Cover &amp; Assumptions'!$E$12*C124</f>
        <v>4277.84510342858</v>
      </c>
      <c r="M124" s="25" t="n">
        <f aca="false">J124*'Cover &amp; Assumptions'!$D$13*E124*'Cover &amp; Assumptions'!$E$13*C124</f>
        <v>7443.45047996574</v>
      </c>
      <c r="N124" s="25" t="n">
        <f aca="false">K124*'Cover &amp; Assumptions'!$C$11+L124*'Cover &amp; Assumptions'!$C$12+M124*'Cover &amp; Assumptions'!$C$13</f>
        <v>4904.54941108087</v>
      </c>
    </row>
    <row r="125" customFormat="false" ht="15" hidden="false" customHeight="false" outlineLevel="0" collapsed="false">
      <c r="A125" s="17" t="str">
        <f aca="false">Portfolio!A125</f>
        <v>UKSME-103283</v>
      </c>
      <c r="B125" s="17" t="str">
        <f aca="false">Portfolio!B125</f>
        <v>Transport</v>
      </c>
      <c r="C125" s="21" t="n">
        <f aca="false">Portfolio!D125</f>
        <v>230524</v>
      </c>
      <c r="D125" s="22" t="n">
        <f aca="false">Portfolio!G125</f>
        <v>0.22528785631497</v>
      </c>
      <c r="E125" s="23" t="n">
        <f aca="false">Portfolio!E125</f>
        <v>0.559</v>
      </c>
      <c r="F125" s="17" t="n">
        <f aca="false">Portfolio!F125</f>
        <v>0</v>
      </c>
      <c r="G125" s="16" t="str">
        <f aca="false">IF(OR(F125&gt;='Cover &amp; Assumptions'!$C$22,Portfolio!I125=1),"Stage 3",IF(OR(F125&gt;=30,D125&gt;'Cover &amp; Assumptions'!$C$21),"Stage 2","Stage 1"))</f>
        <v>Stage 2</v>
      </c>
      <c r="H125" s="16" t="n">
        <f aca="false">IF(G125="Stage 1",12,MIN(Portfolio!H125,60))</f>
        <v>36</v>
      </c>
      <c r="I125" s="24" t="n">
        <f aca="false">1-(1-D125)^(H125/12)</f>
        <v>0.535034113468965</v>
      </c>
      <c r="J125" s="24" t="n">
        <f aca="false">IF(G125="Stage 1",D125,I125)</f>
        <v>0.535034113468965</v>
      </c>
      <c r="K125" s="25" t="n">
        <f aca="false">J125*'Cover &amp; Assumptions'!$D$11*E125*'Cover &amp; Assumptions'!$E$11*C125</f>
        <v>55673.9402370267</v>
      </c>
      <c r="L125" s="25" t="n">
        <f aca="false">J125*'Cover &amp; Assumptions'!$D$12*E125*'Cover &amp; Assumptions'!$E$12*C125</f>
        <v>68946.0560210857</v>
      </c>
      <c r="M125" s="25" t="n">
        <f aca="false">J125*'Cover &amp; Assumptions'!$D$13*E125*'Cover &amp; Assumptions'!$E$13*C125</f>
        <v>119966.137476689</v>
      </c>
      <c r="N125" s="25" t="n">
        <f aca="false">K125*'Cover &amp; Assumptions'!$C$11+L125*'Cover &amp; Assumptions'!$C$12+M125*'Cover &amp; Assumptions'!$C$13</f>
        <v>79046.6532281747</v>
      </c>
    </row>
    <row r="126" customFormat="false" ht="15" hidden="false" customHeight="false" outlineLevel="0" collapsed="false">
      <c r="A126" s="17" t="str">
        <f aca="false">Portfolio!A126</f>
        <v>UKSME-106450</v>
      </c>
      <c r="B126" s="17" t="str">
        <f aca="false">Portfolio!B126</f>
        <v>Construction</v>
      </c>
      <c r="C126" s="21" t="n">
        <f aca="false">Portfolio!D126</f>
        <v>90838</v>
      </c>
      <c r="D126" s="22" t="n">
        <f aca="false">Portfolio!G126</f>
        <v>0.278008295066074</v>
      </c>
      <c r="E126" s="23" t="n">
        <f aca="false">Portfolio!E126</f>
        <v>0.636</v>
      </c>
      <c r="F126" s="17" t="n">
        <f aca="false">Portfolio!F126</f>
        <v>0</v>
      </c>
      <c r="G126" s="16" t="str">
        <f aca="false">IF(OR(F126&gt;='Cover &amp; Assumptions'!$C$22,Portfolio!I126=1),"Stage 3",IF(OR(F126&gt;=30,D126&gt;'Cover &amp; Assumptions'!$C$21),"Stage 2","Stage 1"))</f>
        <v>Stage 3</v>
      </c>
      <c r="H126" s="16" t="n">
        <f aca="false">IF(G126="Stage 1",12,MIN(Portfolio!H126,60))</f>
        <v>48</v>
      </c>
      <c r="I126" s="24" t="n">
        <f aca="false">1-(1-D126)^(H126/12)</f>
        <v>0.728275479086915</v>
      </c>
      <c r="J126" s="24" t="n">
        <f aca="false">IF(G126="Stage 1",D126,I126)</f>
        <v>0.728275479086915</v>
      </c>
      <c r="K126" s="25" t="n">
        <f aca="false">J126*'Cover &amp; Assumptions'!$D$11*E126*'Cover &amp; Assumptions'!$E$11*C126</f>
        <v>33975.2685283919</v>
      </c>
      <c r="L126" s="25" t="n">
        <f aca="false">J126*'Cover &amp; Assumptions'!$D$12*E126*'Cover &amp; Assumptions'!$E$12*C126</f>
        <v>42074.635948473</v>
      </c>
      <c r="M126" s="25" t="n">
        <f aca="false">J126*'Cover &amp; Assumptions'!$D$13*E126*'Cover &amp; Assumptions'!$E$13*C126</f>
        <v>73209.866550343</v>
      </c>
      <c r="N126" s="25" t="n">
        <f aca="false">K126*'Cover &amp; Assumptions'!$C$11+L126*'Cover &amp; Assumptions'!$C$12+M126*'Cover &amp; Assumptions'!$C$13</f>
        <v>48238.5701149243</v>
      </c>
    </row>
    <row r="127" customFormat="false" ht="15" hidden="false" customHeight="false" outlineLevel="0" collapsed="false">
      <c r="A127" s="17" t="str">
        <f aca="false">Portfolio!A127</f>
        <v>UKSME-109030</v>
      </c>
      <c r="B127" s="17" t="str">
        <f aca="false">Portfolio!B127</f>
        <v>Manufacturing</v>
      </c>
      <c r="C127" s="21" t="n">
        <f aca="false">Portfolio!D127</f>
        <v>189161</v>
      </c>
      <c r="D127" s="22" t="n">
        <f aca="false">Portfolio!G127</f>
        <v>0.20184873147837</v>
      </c>
      <c r="E127" s="23" t="n">
        <f aca="false">Portfolio!E127</f>
        <v>0.773</v>
      </c>
      <c r="F127" s="17" t="n">
        <f aca="false">Portfolio!F127</f>
        <v>0</v>
      </c>
      <c r="G127" s="16" t="str">
        <f aca="false">IF(OR(F127&gt;='Cover &amp; Assumptions'!$C$22,Portfolio!I127=1),"Stage 3",IF(OR(F127&gt;=30,D127&gt;'Cover &amp; Assumptions'!$C$21),"Stage 2","Stage 1"))</f>
        <v>Stage 2</v>
      </c>
      <c r="H127" s="16" t="n">
        <f aca="false">IF(G127="Stage 1",12,MIN(Portfolio!H127,60))</f>
        <v>36</v>
      </c>
      <c r="I127" s="24" t="n">
        <f aca="false">1-(1-D127)^(H127/12)</f>
        <v>0.49154136801769</v>
      </c>
      <c r="J127" s="24" t="n">
        <f aca="false">IF(G127="Stage 1",D127,I127)</f>
        <v>0.49154136801769</v>
      </c>
      <c r="K127" s="25" t="n">
        <f aca="false">J127*'Cover &amp; Assumptions'!$D$11*E127*'Cover &amp; Assumptions'!$E$11*C127</f>
        <v>58038.1686307322</v>
      </c>
      <c r="L127" s="25" t="n">
        <f aca="false">J127*'Cover &amp; Assumptions'!$D$12*E127*'Cover &amp; Assumptions'!$E$12*C127</f>
        <v>71873.8930411544</v>
      </c>
      <c r="M127" s="25" t="n">
        <f aca="false">J127*'Cover &amp; Assumptions'!$D$13*E127*'Cover &amp; Assumptions'!$E$13*C127</f>
        <v>125060.573891609</v>
      </c>
      <c r="N127" s="25" t="n">
        <f aca="false">K127*'Cover &amp; Assumptions'!$C$11+L127*'Cover &amp; Assumptions'!$C$12+M127*'Cover &amp; Assumptions'!$C$13</f>
        <v>82403.4183716835</v>
      </c>
    </row>
    <row r="128" customFormat="false" ht="15" hidden="false" customHeight="false" outlineLevel="0" collapsed="false">
      <c r="A128" s="17" t="str">
        <f aca="false">Portfolio!A128</f>
        <v>UKSME-105068</v>
      </c>
      <c r="B128" s="17" t="str">
        <f aca="false">Portfolio!B128</f>
        <v>Retail</v>
      </c>
      <c r="C128" s="21" t="n">
        <f aca="false">Portfolio!D128</f>
        <v>178710</v>
      </c>
      <c r="D128" s="22" t="n">
        <f aca="false">Portfolio!G128</f>
        <v>0.260627755347685</v>
      </c>
      <c r="E128" s="23" t="n">
        <f aca="false">Portfolio!E128</f>
        <v>0.706</v>
      </c>
      <c r="F128" s="17" t="n">
        <f aca="false">Portfolio!F128</f>
        <v>0</v>
      </c>
      <c r="G128" s="16" t="str">
        <f aca="false">IF(OR(F128&gt;='Cover &amp; Assumptions'!$C$22,Portfolio!I128=1),"Stage 3",IF(OR(F128&gt;=30,D128&gt;'Cover &amp; Assumptions'!$C$21),"Stage 2","Stage 1"))</f>
        <v>Stage 2</v>
      </c>
      <c r="H128" s="16" t="n">
        <f aca="false">IF(G128="Stage 1",12,MIN(Portfolio!H128,60))</f>
        <v>36</v>
      </c>
      <c r="I128" s="24" t="n">
        <f aca="false">1-(1-D128)^(H128/12)</f>
        <v>0.595806401882117</v>
      </c>
      <c r="J128" s="24" t="n">
        <f aca="false">IF(G128="Stage 1",D128,I128)</f>
        <v>0.595806401882117</v>
      </c>
      <c r="K128" s="25" t="n">
        <f aca="false">J128*'Cover &amp; Assumptions'!$D$11*E128*'Cover &amp; Assumptions'!$E$11*C128</f>
        <v>60701.7556591989</v>
      </c>
      <c r="L128" s="25" t="n">
        <f aca="false">J128*'Cover &amp; Assumptions'!$D$12*E128*'Cover &amp; Assumptions'!$E$12*C128</f>
        <v>75172.4528287293</v>
      </c>
      <c r="M128" s="25" t="n">
        <f aca="false">J128*'Cover &amp; Assumptions'!$D$13*E128*'Cover &amp; Assumptions'!$E$13*C128</f>
        <v>130800.067921989</v>
      </c>
      <c r="N128" s="25" t="n">
        <f aca="false">K128*'Cover &amp; Assumptions'!$C$11+L128*'Cover &amp; Assumptions'!$C$12+M128*'Cover &amp; Assumptions'!$C$13</f>
        <v>86185.2171681381</v>
      </c>
    </row>
    <row r="129" customFormat="false" ht="15" hidden="false" customHeight="false" outlineLevel="0" collapsed="false">
      <c r="A129" s="17" t="str">
        <f aca="false">Portfolio!A129</f>
        <v>UKSME-105357</v>
      </c>
      <c r="B129" s="17" t="str">
        <f aca="false">Portfolio!B129</f>
        <v>Wholesale</v>
      </c>
      <c r="C129" s="21" t="n">
        <f aca="false">Portfolio!D129</f>
        <v>16598</v>
      </c>
      <c r="D129" s="22" t="n">
        <f aca="false">Portfolio!G129</f>
        <v>0.059351114563433</v>
      </c>
      <c r="E129" s="23" t="n">
        <f aca="false">Portfolio!E129</f>
        <v>0.319</v>
      </c>
      <c r="F129" s="17" t="n">
        <f aca="false">Portfolio!F129</f>
        <v>0</v>
      </c>
      <c r="G129" s="16" t="str">
        <f aca="false">IF(OR(F129&gt;='Cover &amp; Assumptions'!$C$22,Portfolio!I129=1),"Stage 3",IF(OR(F129&gt;=30,D129&gt;'Cover &amp; Assumptions'!$C$21),"Stage 2","Stage 1"))</f>
        <v>Stage 1</v>
      </c>
      <c r="H129" s="16" t="n">
        <f aca="false">IF(G129="Stage 1",12,MIN(Portfolio!H129,60))</f>
        <v>12</v>
      </c>
      <c r="I129" s="24" t="n">
        <f aca="false">1-(1-D129)^(H129/12)</f>
        <v>0.059351114563433</v>
      </c>
      <c r="J129" s="24" t="n">
        <f aca="false">IF(G129="Stage 1",D129,I129)</f>
        <v>0.059351114563433</v>
      </c>
      <c r="K129" s="25" t="n">
        <f aca="false">J129*'Cover &amp; Assumptions'!$D$11*E129*'Cover &amp; Assumptions'!$E$11*C129</f>
        <v>253.75689603385</v>
      </c>
      <c r="L129" s="25" t="n">
        <f aca="false">J129*'Cover &amp; Assumptions'!$D$12*E129*'Cover &amp; Assumptions'!$E$12*C129</f>
        <v>314.250026048112</v>
      </c>
      <c r="M129" s="25" t="n">
        <f aca="false">J129*'Cover &amp; Assumptions'!$D$13*E129*'Cover &amp; Assumptions'!$E$13*C129</f>
        <v>546.795045323714</v>
      </c>
      <c r="N129" s="25" t="n">
        <f aca="false">K129*'Cover &amp; Assumptions'!$C$11+L129*'Cover &amp; Assumptions'!$C$12+M129*'Cover &amp; Assumptions'!$C$13</f>
        <v>360.28765486416</v>
      </c>
    </row>
    <row r="130" customFormat="false" ht="15" hidden="false" customHeight="false" outlineLevel="0" collapsed="false">
      <c r="A130" s="17" t="str">
        <f aca="false">Portfolio!A130</f>
        <v>UKSME-100831</v>
      </c>
      <c r="B130" s="17" t="str">
        <f aca="false">Portfolio!B130</f>
        <v>Real Estate</v>
      </c>
      <c r="C130" s="21" t="n">
        <f aca="false">Portfolio!D130</f>
        <v>78698</v>
      </c>
      <c r="D130" s="22" t="n">
        <f aca="false">Portfolio!G130</f>
        <v>0.226059820323425</v>
      </c>
      <c r="E130" s="23" t="n">
        <f aca="false">Portfolio!E130</f>
        <v>0.467</v>
      </c>
      <c r="F130" s="17" t="n">
        <f aca="false">Portfolio!F130</f>
        <v>0</v>
      </c>
      <c r="G130" s="16" t="str">
        <f aca="false">IF(OR(F130&gt;='Cover &amp; Assumptions'!$C$22,Portfolio!I130=1),"Stage 3",IF(OR(F130&gt;=30,D130&gt;'Cover &amp; Assumptions'!$C$21),"Stage 2","Stage 1"))</f>
        <v>Stage 3</v>
      </c>
      <c r="H130" s="16" t="n">
        <f aca="false">IF(G130="Stage 1",12,MIN(Portfolio!H130,60))</f>
        <v>60</v>
      </c>
      <c r="I130" s="24" t="n">
        <f aca="false">1-(1-D130)^(H130/12)</f>
        <v>0.722324878979489</v>
      </c>
      <c r="J130" s="24" t="n">
        <f aca="false">IF(G130="Stage 1",D130,I130)</f>
        <v>0.722324878979489</v>
      </c>
      <c r="K130" s="25" t="n">
        <f aca="false">J130*'Cover &amp; Assumptions'!$D$11*E130*'Cover &amp; Assumptions'!$E$11*C130</f>
        <v>21436.5889600157</v>
      </c>
      <c r="L130" s="25" t="n">
        <f aca="false">J130*'Cover &amp; Assumptions'!$D$12*E130*'Cover &amp; Assumptions'!$E$12*C130</f>
        <v>26546.8593932083</v>
      </c>
      <c r="M130" s="25" t="n">
        <f aca="false">J130*'Cover &amp; Assumptions'!$D$13*E130*'Cover &amp; Assumptions'!$E$13*C130</f>
        <v>46191.5353441824</v>
      </c>
      <c r="N130" s="25" t="n">
        <f aca="false">K130*'Cover &amp; Assumptions'!$C$11+L130*'Cover &amp; Assumptions'!$C$12+M130*'Cover &amp; Assumptions'!$C$13</f>
        <v>30435.9742943133</v>
      </c>
    </row>
    <row r="131" customFormat="false" ht="15" hidden="false" customHeight="false" outlineLevel="0" collapsed="false">
      <c r="A131" s="17" t="str">
        <f aca="false">Portfolio!A131</f>
        <v>UKSME-100374</v>
      </c>
      <c r="B131" s="17" t="str">
        <f aca="false">Portfolio!B131</f>
        <v>Hospitality</v>
      </c>
      <c r="C131" s="21" t="n">
        <f aca="false">Portfolio!D131</f>
        <v>26445</v>
      </c>
      <c r="D131" s="22" t="n">
        <f aca="false">Portfolio!G131</f>
        <v>0.165923324801062</v>
      </c>
      <c r="E131" s="23" t="n">
        <f aca="false">Portfolio!E131</f>
        <v>0.749</v>
      </c>
      <c r="F131" s="17" t="n">
        <f aca="false">Portfolio!F131</f>
        <v>0</v>
      </c>
      <c r="G131" s="16" t="str">
        <f aca="false">IF(OR(F131&gt;='Cover &amp; Assumptions'!$C$22,Portfolio!I131=1),"Stage 3",IF(OR(F131&gt;=30,D131&gt;'Cover &amp; Assumptions'!$C$21),"Stage 2","Stage 1"))</f>
        <v>Stage 2</v>
      </c>
      <c r="H131" s="16" t="n">
        <f aca="false">IF(G131="Stage 1",12,MIN(Portfolio!H131,60))</f>
        <v>24</v>
      </c>
      <c r="I131" s="24" t="n">
        <f aca="false">1-(1-D131)^(H131/12)</f>
        <v>0.304316099889085</v>
      </c>
      <c r="J131" s="24" t="n">
        <f aca="false">IF(G131="Stage 1",D131,I131)</f>
        <v>0.304316099889085</v>
      </c>
      <c r="K131" s="25" t="n">
        <f aca="false">J131*'Cover &amp; Assumptions'!$D$11*E131*'Cover &amp; Assumptions'!$E$11*C131</f>
        <v>4867.3530590827</v>
      </c>
      <c r="L131" s="25" t="n">
        <f aca="false">J131*'Cover &amp; Assumptions'!$D$12*E131*'Cover &amp; Assumptions'!$E$12*C131</f>
        <v>6027.68180691357</v>
      </c>
      <c r="M131" s="25" t="n">
        <f aca="false">J131*'Cover &amp; Assumptions'!$D$13*E131*'Cover &amp; Assumptions'!$E$13*C131</f>
        <v>10488.1663440296</v>
      </c>
      <c r="N131" s="25" t="n">
        <f aca="false">K131*'Cover &amp; Assumptions'!$C$11+L131*'Cover &amp; Assumptions'!$C$12+M131*'Cover &amp; Assumptions'!$C$13</f>
        <v>6910.73719162641</v>
      </c>
    </row>
    <row r="132" customFormat="false" ht="15" hidden="false" customHeight="false" outlineLevel="0" collapsed="false">
      <c r="A132" s="17" t="str">
        <f aca="false">Portfolio!A132</f>
        <v>UKSME-104076</v>
      </c>
      <c r="B132" s="17" t="str">
        <f aca="false">Portfolio!B132</f>
        <v>Technology</v>
      </c>
      <c r="C132" s="21" t="n">
        <f aca="false">Portfolio!D132</f>
        <v>40619</v>
      </c>
      <c r="D132" s="22" t="n">
        <f aca="false">Portfolio!G132</f>
        <v>0.27786627909052</v>
      </c>
      <c r="E132" s="23" t="n">
        <f aca="false">Portfolio!E132</f>
        <v>0.762</v>
      </c>
      <c r="F132" s="17" t="n">
        <f aca="false">Portfolio!F132</f>
        <v>35</v>
      </c>
      <c r="G132" s="16" t="str">
        <f aca="false">IF(OR(F132&gt;='Cover &amp; Assumptions'!$C$22,Portfolio!I132=1),"Stage 3",IF(OR(F132&gt;=30,D132&gt;'Cover &amp; Assumptions'!$C$21),"Stage 2","Stage 1"))</f>
        <v>Stage 3</v>
      </c>
      <c r="H132" s="16" t="n">
        <f aca="false">IF(G132="Stage 1",12,MIN(Portfolio!H132,60))</f>
        <v>24</v>
      </c>
      <c r="I132" s="24" t="n">
        <f aca="false">1-(1-D132)^(H132/12)</f>
        <v>0.478522889125429</v>
      </c>
      <c r="J132" s="24" t="n">
        <f aca="false">IF(G132="Stage 1",D132,I132)</f>
        <v>0.478522889125429</v>
      </c>
      <c r="K132" s="25" t="n">
        <f aca="false">J132*'Cover &amp; Assumptions'!$D$11*E132*'Cover &amp; Assumptions'!$E$11*C132</f>
        <v>11959.9522517208</v>
      </c>
      <c r="L132" s="25" t="n">
        <f aca="false">J132*'Cover &amp; Assumptions'!$D$12*E132*'Cover &amp; Assumptions'!$E$12*C132</f>
        <v>14811.08637984</v>
      </c>
      <c r="M132" s="25" t="n">
        <f aca="false">J132*'Cover &amp; Assumptions'!$D$13*E132*'Cover &amp; Assumptions'!$E$13*C132</f>
        <v>25771.2903009216</v>
      </c>
      <c r="N132" s="25" t="n">
        <f aca="false">K132*'Cover &amp; Assumptions'!$C$11+L132*'Cover &amp; Assumptions'!$C$12+M132*'Cover &amp; Assumptions'!$C$13</f>
        <v>16980.9105344865</v>
      </c>
    </row>
    <row r="133" customFormat="false" ht="15" hidden="false" customHeight="false" outlineLevel="0" collapsed="false">
      <c r="A133" s="17" t="str">
        <f aca="false">Portfolio!A133</f>
        <v>UKSME-108575</v>
      </c>
      <c r="B133" s="17" t="str">
        <f aca="false">Portfolio!B133</f>
        <v>Professional Services</v>
      </c>
      <c r="C133" s="21" t="n">
        <f aca="false">Portfolio!D133</f>
        <v>43306</v>
      </c>
      <c r="D133" s="22" t="n">
        <f aca="false">Portfolio!G133</f>
        <v>0.001</v>
      </c>
      <c r="E133" s="23" t="n">
        <f aca="false">Portfolio!E133</f>
        <v>0.563</v>
      </c>
      <c r="F133" s="17" t="n">
        <f aca="false">Portfolio!F133</f>
        <v>0</v>
      </c>
      <c r="G133" s="16" t="str">
        <f aca="false">IF(OR(F133&gt;='Cover &amp; Assumptions'!$C$22,Portfolio!I133=1),"Stage 3",IF(OR(F133&gt;=30,D133&gt;'Cover &amp; Assumptions'!$C$21),"Stage 2","Stage 1"))</f>
        <v>Stage 1</v>
      </c>
      <c r="H133" s="16" t="n">
        <f aca="false">IF(G133="Stage 1",12,MIN(Portfolio!H133,60))</f>
        <v>12</v>
      </c>
      <c r="I133" s="24" t="n">
        <f aca="false">1-(1-D133)^(H133/12)</f>
        <v>0.001</v>
      </c>
      <c r="J133" s="24" t="n">
        <f aca="false">IF(G133="Stage 1",D133,I133)</f>
        <v>0.001</v>
      </c>
      <c r="K133" s="25" t="n">
        <f aca="false">J133*'Cover &amp; Assumptions'!$D$11*E133*'Cover &amp; Assumptions'!$E$11*C133</f>
        <v>19.687881985</v>
      </c>
      <c r="L133" s="25" t="n">
        <f aca="false">J133*'Cover &amp; Assumptions'!$D$12*E133*'Cover &amp; Assumptions'!$E$12*C133</f>
        <v>24.381278</v>
      </c>
      <c r="M133" s="25" t="n">
        <f aca="false">J133*'Cover &amp; Assumptions'!$D$13*E133*'Cover &amp; Assumptions'!$E$13*C133</f>
        <v>42.42342372</v>
      </c>
      <c r="N133" s="25" t="n">
        <f aca="false">K133*'Cover &amp; Assumptions'!$C$11+L133*'Cover &amp; Assumptions'!$C$12+M133*'Cover &amp; Assumptions'!$C$13</f>
        <v>27.953135227</v>
      </c>
    </row>
    <row r="134" customFormat="false" ht="15" hidden="false" customHeight="false" outlineLevel="0" collapsed="false">
      <c r="A134" s="17" t="str">
        <f aca="false">Portfolio!A134</f>
        <v>UKSME-108052</v>
      </c>
      <c r="B134" s="17" t="str">
        <f aca="false">Portfolio!B134</f>
        <v>Healthcare</v>
      </c>
      <c r="C134" s="21" t="n">
        <f aca="false">Portfolio!D134</f>
        <v>55650</v>
      </c>
      <c r="D134" s="22" t="n">
        <f aca="false">Portfolio!G134</f>
        <v>0.0718144719425877</v>
      </c>
      <c r="E134" s="23" t="n">
        <f aca="false">Portfolio!E134</f>
        <v>0.709</v>
      </c>
      <c r="F134" s="17" t="n">
        <f aca="false">Portfolio!F134</f>
        <v>0</v>
      </c>
      <c r="G134" s="16" t="str">
        <f aca="false">IF(OR(F134&gt;='Cover &amp; Assumptions'!$C$22,Portfolio!I134=1),"Stage 3",IF(OR(F134&gt;=30,D134&gt;'Cover &amp; Assumptions'!$C$21),"Stage 2","Stage 1"))</f>
        <v>Stage 1</v>
      </c>
      <c r="H134" s="16" t="n">
        <f aca="false">IF(G134="Stage 1",12,MIN(Portfolio!H134,60))</f>
        <v>12</v>
      </c>
      <c r="I134" s="24" t="n">
        <f aca="false">1-(1-D134)^(H134/12)</f>
        <v>0.0718144719425877</v>
      </c>
      <c r="J134" s="24" t="n">
        <f aca="false">IF(G134="Stage 1",D134,I134)</f>
        <v>0.0718144719425877</v>
      </c>
      <c r="K134" s="25" t="n">
        <f aca="false">J134*'Cover &amp; Assumptions'!$D$11*E134*'Cover &amp; Assumptions'!$E$11*C134</f>
        <v>2288.05208398273</v>
      </c>
      <c r="L134" s="25" t="n">
        <f aca="false">J134*'Cover &amp; Assumptions'!$D$12*E134*'Cover &amp; Assumptions'!$E$12*C134</f>
        <v>2833.50103279595</v>
      </c>
      <c r="M134" s="25" t="n">
        <f aca="false">J134*'Cover &amp; Assumptions'!$D$13*E134*'Cover &amp; Assumptions'!$E$13*C134</f>
        <v>4930.29179706495</v>
      </c>
      <c r="N134" s="25" t="n">
        <f aca="false">K134*'Cover &amp; Assumptions'!$C$11+L134*'Cover &amp; Assumptions'!$C$12+M134*'Cover &amp; Assumptions'!$C$13</f>
        <v>3248.60893410056</v>
      </c>
    </row>
    <row r="135" customFormat="false" ht="15" hidden="false" customHeight="false" outlineLevel="0" collapsed="false">
      <c r="A135" s="17" t="str">
        <f aca="false">Portfolio!A135</f>
        <v>UKSME-103730</v>
      </c>
      <c r="B135" s="17" t="str">
        <f aca="false">Portfolio!B135</f>
        <v>Healthcare</v>
      </c>
      <c r="C135" s="21" t="n">
        <f aca="false">Portfolio!D135</f>
        <v>8303</v>
      </c>
      <c r="D135" s="22" t="n">
        <f aca="false">Portfolio!G135</f>
        <v>0.381071471797901</v>
      </c>
      <c r="E135" s="23" t="n">
        <f aca="false">Portfolio!E135</f>
        <v>0.226</v>
      </c>
      <c r="F135" s="17" t="n">
        <f aca="false">Portfolio!F135</f>
        <v>65</v>
      </c>
      <c r="G135" s="16" t="str">
        <f aca="false">IF(OR(F135&gt;='Cover &amp; Assumptions'!$C$22,Portfolio!I135=1),"Stage 3",IF(OR(F135&gt;=30,D135&gt;'Cover &amp; Assumptions'!$C$21),"Stage 2","Stage 1"))</f>
        <v>Stage 2</v>
      </c>
      <c r="H135" s="16" t="n">
        <f aca="false">IF(G135="Stage 1",12,MIN(Portfolio!H135,60))</f>
        <v>60</v>
      </c>
      <c r="I135" s="24" t="n">
        <f aca="false">1-(1-D135)^(H135/12)</f>
        <v>0.909175606760528</v>
      </c>
      <c r="J135" s="24" t="n">
        <f aca="false">IF(G135="Stage 1",D135,I135)</f>
        <v>0.909175606760528</v>
      </c>
      <c r="K135" s="25" t="n">
        <f aca="false">J135*'Cover &amp; Assumptions'!$D$11*E135*'Cover &amp; Assumptions'!$E$11*C135</f>
        <v>1377.6337795599</v>
      </c>
      <c r="L135" s="25" t="n">
        <f aca="false">J135*'Cover &amp; Assumptions'!$D$12*E135*'Cover &amp; Assumptions'!$E$12*C135</f>
        <v>1706.04802422278</v>
      </c>
      <c r="M135" s="25" t="n">
        <f aca="false">J135*'Cover &amp; Assumptions'!$D$13*E135*'Cover &amp; Assumptions'!$E$13*C135</f>
        <v>2968.52356214764</v>
      </c>
      <c r="N135" s="25" t="n">
        <f aca="false">K135*'Cover &amp; Assumptions'!$C$11+L135*'Cover &amp; Assumptions'!$C$12+M135*'Cover &amp; Assumptions'!$C$13</f>
        <v>1955.98405977142</v>
      </c>
    </row>
    <row r="136" customFormat="false" ht="15" hidden="false" customHeight="false" outlineLevel="0" collapsed="false">
      <c r="A136" s="17" t="str">
        <f aca="false">Portfolio!A136</f>
        <v>UKSME-104904</v>
      </c>
      <c r="B136" s="17" t="str">
        <f aca="false">Portfolio!B136</f>
        <v>Hospitality</v>
      </c>
      <c r="C136" s="21" t="n">
        <f aca="false">Portfolio!D136</f>
        <v>63939</v>
      </c>
      <c r="D136" s="22" t="n">
        <f aca="false">Portfolio!G136</f>
        <v>0.256715215330119</v>
      </c>
      <c r="E136" s="23" t="n">
        <f aca="false">Portfolio!E136</f>
        <v>0.523</v>
      </c>
      <c r="F136" s="17" t="n">
        <f aca="false">Portfolio!F136</f>
        <v>0</v>
      </c>
      <c r="G136" s="16" t="str">
        <f aca="false">IF(OR(F136&gt;='Cover &amp; Assumptions'!$C$22,Portfolio!I136=1),"Stage 3",IF(OR(F136&gt;=30,D136&gt;'Cover &amp; Assumptions'!$C$21),"Stage 2","Stage 1"))</f>
        <v>Stage 2</v>
      </c>
      <c r="H136" s="16" t="n">
        <f aca="false">IF(G136="Stage 1",12,MIN(Portfolio!H136,60))</f>
        <v>60</v>
      </c>
      <c r="I136" s="24" t="n">
        <f aca="false">1-(1-D136)^(H136/12)</f>
        <v>0.773130447929004</v>
      </c>
      <c r="J136" s="24" t="n">
        <f aca="false">IF(G136="Stage 1",D136,I136)</f>
        <v>0.773130447929004</v>
      </c>
      <c r="K136" s="25" t="n">
        <f aca="false">J136*'Cover &amp; Assumptions'!$D$11*E136*'Cover &amp; Assumptions'!$E$11*C136</f>
        <v>20876.7474167125</v>
      </c>
      <c r="L136" s="25" t="n">
        <f aca="false">J136*'Cover &amp; Assumptions'!$D$12*E136*'Cover &amp; Assumptions'!$E$12*C136</f>
        <v>25853.5571723993</v>
      </c>
      <c r="M136" s="25" t="n">
        <f aca="false">J136*'Cover &amp; Assumptions'!$D$13*E136*'Cover &amp; Assumptions'!$E$13*C136</f>
        <v>44985.1894799748</v>
      </c>
      <c r="N136" s="25" t="n">
        <f aca="false">K136*'Cover &amp; Assumptions'!$C$11+L136*'Cover &amp; Assumptions'!$C$12+M136*'Cover &amp; Assumptions'!$C$13</f>
        <v>29641.1032981558</v>
      </c>
    </row>
    <row r="137" customFormat="false" ht="15" hidden="false" customHeight="false" outlineLevel="0" collapsed="false">
      <c r="A137" s="17" t="str">
        <f aca="false">Portfolio!A137</f>
        <v>UKSME-105426</v>
      </c>
      <c r="B137" s="17" t="str">
        <f aca="false">Portfolio!B137</f>
        <v>Retail</v>
      </c>
      <c r="C137" s="21" t="n">
        <f aca="false">Portfolio!D137</f>
        <v>91274</v>
      </c>
      <c r="D137" s="22" t="n">
        <f aca="false">Portfolio!G137</f>
        <v>0.150096329319615</v>
      </c>
      <c r="E137" s="23" t="n">
        <f aca="false">Portfolio!E137</f>
        <v>0.152</v>
      </c>
      <c r="F137" s="17" t="n">
        <f aca="false">Portfolio!F137</f>
        <v>0</v>
      </c>
      <c r="G137" s="16" t="str">
        <f aca="false">IF(OR(F137&gt;='Cover &amp; Assumptions'!$C$22,Portfolio!I137=1),"Stage 3",IF(OR(F137&gt;=30,D137&gt;'Cover &amp; Assumptions'!$C$21),"Stage 2","Stage 1"))</f>
        <v>Stage 2</v>
      </c>
      <c r="H137" s="16" t="n">
        <f aca="false">IF(G137="Stage 1",12,MIN(Portfolio!H137,60))</f>
        <v>60</v>
      </c>
      <c r="I137" s="24" t="n">
        <f aca="false">1-(1-D137)^(H137/12)</f>
        <v>0.55654605305421</v>
      </c>
      <c r="J137" s="24" t="n">
        <f aca="false">IF(G137="Stage 1",D137,I137)</f>
        <v>0.55654605305421</v>
      </c>
      <c r="K137" s="25" t="n">
        <f aca="false">J137*'Cover &amp; Assumptions'!$D$11*E137*'Cover &amp; Assumptions'!$E$11*C137</f>
        <v>6234.96915895972</v>
      </c>
      <c r="L137" s="25" t="n">
        <f aca="false">J137*'Cover &amp; Assumptions'!$D$12*E137*'Cover &amp; Assumptions'!$E$12*C137</f>
        <v>7721.32403586344</v>
      </c>
      <c r="M137" s="25" t="n">
        <f aca="false">J137*'Cover &amp; Assumptions'!$D$13*E137*'Cover &amp; Assumptions'!$E$13*C137</f>
        <v>13435.1038224024</v>
      </c>
      <c r="N137" s="25" t="n">
        <f aca="false">K137*'Cover &amp; Assumptions'!$C$11+L137*'Cover &amp; Assumptions'!$C$12+M137*'Cover &amp; Assumptions'!$C$13</f>
        <v>8852.49800711743</v>
      </c>
    </row>
    <row r="138" customFormat="false" ht="15" hidden="false" customHeight="false" outlineLevel="0" collapsed="false">
      <c r="A138" s="17" t="str">
        <f aca="false">Portfolio!A138</f>
        <v>UKSME-101762</v>
      </c>
      <c r="B138" s="17" t="str">
        <f aca="false">Portfolio!B138</f>
        <v>Healthcare</v>
      </c>
      <c r="C138" s="21" t="n">
        <f aca="false">Portfolio!D138</f>
        <v>59714</v>
      </c>
      <c r="D138" s="22" t="n">
        <f aca="false">Portfolio!G138</f>
        <v>0.319984978779834</v>
      </c>
      <c r="E138" s="23" t="n">
        <f aca="false">Portfolio!E138</f>
        <v>0.166</v>
      </c>
      <c r="F138" s="17" t="n">
        <f aca="false">Portfolio!F138</f>
        <v>0</v>
      </c>
      <c r="G138" s="16" t="str">
        <f aca="false">IF(OR(F138&gt;='Cover &amp; Assumptions'!$C$22,Portfolio!I138=1),"Stage 3",IF(OR(F138&gt;=30,D138&gt;'Cover &amp; Assumptions'!$C$21),"Stage 2","Stage 1"))</f>
        <v>Stage 3</v>
      </c>
      <c r="H138" s="16" t="n">
        <f aca="false">IF(G138="Stage 1",12,MIN(Portfolio!H138,60))</f>
        <v>60</v>
      </c>
      <c r="I138" s="24" t="n">
        <f aca="false">1-(1-D138)^(H138/12)</f>
        <v>0.854590583772692</v>
      </c>
      <c r="J138" s="24" t="n">
        <f aca="false">IF(G138="Stage 1",D138,I138)</f>
        <v>0.854590583772692</v>
      </c>
      <c r="K138" s="25" t="n">
        <f aca="false">J138*'Cover &amp; Assumptions'!$D$11*E138*'Cover &amp; Assumptions'!$E$11*C138</f>
        <v>6840.45335999531</v>
      </c>
      <c r="L138" s="25" t="n">
        <f aca="false">J138*'Cover &amp; Assumptions'!$D$12*E138*'Cover &amp; Assumptions'!$E$12*C138</f>
        <v>8471.14967182082</v>
      </c>
      <c r="M138" s="25" t="n">
        <f aca="false">J138*'Cover &amp; Assumptions'!$D$13*E138*'Cover &amp; Assumptions'!$E$13*C138</f>
        <v>14739.8004289682</v>
      </c>
      <c r="N138" s="25" t="n">
        <f aca="false">K138*'Cover &amp; Assumptions'!$C$11+L138*'Cover &amp; Assumptions'!$C$12+M138*'Cover &amp; Assumptions'!$C$13</f>
        <v>9712.17309874256</v>
      </c>
    </row>
    <row r="139" customFormat="false" ht="15" hidden="false" customHeight="false" outlineLevel="0" collapsed="false">
      <c r="A139" s="17" t="str">
        <f aca="false">Portfolio!A139</f>
        <v>UKSME-101730</v>
      </c>
      <c r="B139" s="17" t="str">
        <f aca="false">Portfolio!B139</f>
        <v>Construction</v>
      </c>
      <c r="C139" s="21" t="n">
        <f aca="false">Portfolio!D139</f>
        <v>109934</v>
      </c>
      <c r="D139" s="22" t="n">
        <f aca="false">Portfolio!G139</f>
        <v>0.139040335953449</v>
      </c>
      <c r="E139" s="23" t="n">
        <f aca="false">Portfolio!E139</f>
        <v>0.217</v>
      </c>
      <c r="F139" s="17" t="n">
        <f aca="false">Portfolio!F139</f>
        <v>0</v>
      </c>
      <c r="G139" s="16" t="str">
        <f aca="false">IF(OR(F139&gt;='Cover &amp; Assumptions'!$C$22,Portfolio!I139=1),"Stage 3",IF(OR(F139&gt;=30,D139&gt;'Cover &amp; Assumptions'!$C$21),"Stage 2","Stage 1"))</f>
        <v>Stage 1</v>
      </c>
      <c r="H139" s="16" t="n">
        <f aca="false">IF(G139="Stage 1",12,MIN(Portfolio!H139,60))</f>
        <v>12</v>
      </c>
      <c r="I139" s="24" t="n">
        <f aca="false">1-(1-D139)^(H139/12)</f>
        <v>0.139040335953449</v>
      </c>
      <c r="J139" s="24" t="n">
        <f aca="false">IF(G139="Stage 1",D139,I139)</f>
        <v>0.139040335953449</v>
      </c>
      <c r="K139" s="25" t="n">
        <f aca="false">J139*'Cover &amp; Assumptions'!$D$11*E139*'Cover &amp; Assumptions'!$E$11*C139</f>
        <v>2678.39794794022</v>
      </c>
      <c r="L139" s="25" t="n">
        <f aca="false">J139*'Cover &amp; Assumptions'!$D$12*E139*'Cover &amp; Assumptions'!$E$12*C139</f>
        <v>3316.9014835173</v>
      </c>
      <c r="M139" s="25" t="n">
        <f aca="false">J139*'Cover &amp; Assumptions'!$D$13*E139*'Cover &amp; Assumptions'!$E$13*C139</f>
        <v>5771.4085813201</v>
      </c>
      <c r="N139" s="25" t="n">
        <f aca="false">K139*'Cover &amp; Assumptions'!$C$11+L139*'Cover &amp; Assumptions'!$C$12+M139*'Cover &amp; Assumptions'!$C$13</f>
        <v>3802.82755085258</v>
      </c>
    </row>
    <row r="140" customFormat="false" ht="15" hidden="false" customHeight="false" outlineLevel="0" collapsed="false">
      <c r="A140" s="17" t="str">
        <f aca="false">Portfolio!A140</f>
        <v>UKSME-103752</v>
      </c>
      <c r="B140" s="17" t="str">
        <f aca="false">Portfolio!B140</f>
        <v>Transport</v>
      </c>
      <c r="C140" s="21" t="n">
        <f aca="false">Portfolio!D140</f>
        <v>37439</v>
      </c>
      <c r="D140" s="22" t="n">
        <f aca="false">Portfolio!G140</f>
        <v>0.282718242868691</v>
      </c>
      <c r="E140" s="23" t="n">
        <f aca="false">Portfolio!E140</f>
        <v>0.812</v>
      </c>
      <c r="F140" s="17" t="n">
        <f aca="false">Portfolio!F140</f>
        <v>0</v>
      </c>
      <c r="G140" s="16" t="str">
        <f aca="false">IF(OR(F140&gt;='Cover &amp; Assumptions'!$C$22,Portfolio!I140=1),"Stage 3",IF(OR(F140&gt;=30,D140&gt;'Cover &amp; Assumptions'!$C$21),"Stage 2","Stage 1"))</f>
        <v>Stage 3</v>
      </c>
      <c r="H140" s="16" t="n">
        <f aca="false">IF(G140="Stage 1",12,MIN(Portfolio!H140,60))</f>
        <v>12</v>
      </c>
      <c r="I140" s="24" t="n">
        <f aca="false">1-(1-D140)^(H140/12)</f>
        <v>0.282718242868691</v>
      </c>
      <c r="J140" s="24" t="n">
        <f aca="false">IF(G140="Stage 1",D140,I140)</f>
        <v>0.282718242868691</v>
      </c>
      <c r="K140" s="25" t="n">
        <f aca="false">J140*'Cover &amp; Assumptions'!$D$11*E140*'Cover &amp; Assumptions'!$E$11*C140</f>
        <v>6940.27426799178</v>
      </c>
      <c r="L140" s="25" t="n">
        <f aca="false">J140*'Cover &amp; Assumptions'!$D$12*E140*'Cover &amp; Assumptions'!$E$12*C140</f>
        <v>8594.76689534586</v>
      </c>
      <c r="M140" s="25" t="n">
        <f aca="false">J140*'Cover &amp; Assumptions'!$D$13*E140*'Cover &amp; Assumptions'!$E$13*C140</f>
        <v>14954.8943979018</v>
      </c>
      <c r="N140" s="25" t="n">
        <f aca="false">K140*'Cover &amp; Assumptions'!$C$11+L140*'Cover &amp; Assumptions'!$C$12+M140*'Cover &amp; Assumptions'!$C$13</f>
        <v>9853.90024551403</v>
      </c>
    </row>
    <row r="141" customFormat="false" ht="15" hidden="false" customHeight="false" outlineLevel="0" collapsed="false">
      <c r="A141" s="17" t="str">
        <f aca="false">Portfolio!A141</f>
        <v>UKSME-105463</v>
      </c>
      <c r="B141" s="17" t="str">
        <f aca="false">Portfolio!B141</f>
        <v>Technology</v>
      </c>
      <c r="C141" s="21" t="n">
        <f aca="false">Portfolio!D141</f>
        <v>57468</v>
      </c>
      <c r="D141" s="22" t="n">
        <f aca="false">Portfolio!G141</f>
        <v>0.18972004711122</v>
      </c>
      <c r="E141" s="23" t="n">
        <f aca="false">Portfolio!E141</f>
        <v>0.195</v>
      </c>
      <c r="F141" s="17" t="n">
        <f aca="false">Portfolio!F141</f>
        <v>0</v>
      </c>
      <c r="G141" s="16" t="str">
        <f aca="false">IF(OR(F141&gt;='Cover &amp; Assumptions'!$C$22,Portfolio!I141=1),"Stage 3",IF(OR(F141&gt;=30,D141&gt;'Cover &amp; Assumptions'!$C$21),"Stage 2","Stage 1"))</f>
        <v>Stage 2</v>
      </c>
      <c r="H141" s="16" t="n">
        <f aca="false">IF(G141="Stage 1",12,MIN(Portfolio!H141,60))</f>
        <v>48</v>
      </c>
      <c r="I141" s="24" t="n">
        <f aca="false">1-(1-D141)^(H141/12)</f>
        <v>0.568937367630649</v>
      </c>
      <c r="J141" s="24" t="n">
        <f aca="false">IF(G141="Stage 1",D141,I141)</f>
        <v>0.568937367630649</v>
      </c>
      <c r="K141" s="25" t="n">
        <f aca="false">J141*'Cover &amp; Assumptions'!$D$11*E141*'Cover &amp; Assumptions'!$E$11*C141</f>
        <v>5148.34550279809</v>
      </c>
      <c r="L141" s="25" t="n">
        <f aca="false">J141*'Cover &amp; Assumptions'!$D$12*E141*'Cover &amp; Assumptions'!$E$12*C141</f>
        <v>6375.66006538463</v>
      </c>
      <c r="M141" s="25" t="n">
        <f aca="false">J141*'Cover &amp; Assumptions'!$D$13*E141*'Cover &amp; Assumptions'!$E$13*C141</f>
        <v>11093.6485137693</v>
      </c>
      <c r="N141" s="25" t="n">
        <f aca="false">K141*'Cover &amp; Assumptions'!$C$11+L141*'Cover &amp; Assumptions'!$C$12+M141*'Cover &amp; Assumptions'!$C$13</f>
        <v>7309.69426496348</v>
      </c>
    </row>
    <row r="142" customFormat="false" ht="15" hidden="false" customHeight="false" outlineLevel="0" collapsed="false">
      <c r="A142" s="17" t="str">
        <f aca="false">Portfolio!A142</f>
        <v>UKSME-103581</v>
      </c>
      <c r="B142" s="17" t="str">
        <f aca="false">Portfolio!B142</f>
        <v>Construction</v>
      </c>
      <c r="C142" s="21" t="n">
        <f aca="false">Portfolio!D142</f>
        <v>112928</v>
      </c>
      <c r="D142" s="22" t="n">
        <f aca="false">Portfolio!G142</f>
        <v>0.164985941523411</v>
      </c>
      <c r="E142" s="23" t="n">
        <f aca="false">Portfolio!E142</f>
        <v>0.198</v>
      </c>
      <c r="F142" s="17" t="n">
        <f aca="false">Portfolio!F142</f>
        <v>0</v>
      </c>
      <c r="G142" s="16" t="str">
        <f aca="false">IF(OR(F142&gt;='Cover &amp; Assumptions'!$C$22,Portfolio!I142=1),"Stage 3",IF(OR(F142&gt;=30,D142&gt;'Cover &amp; Assumptions'!$C$21),"Stage 2","Stage 1"))</f>
        <v>Stage 3</v>
      </c>
      <c r="H142" s="16" t="n">
        <f aca="false">IF(G142="Stage 1",12,MIN(Portfolio!H142,60))</f>
        <v>48</v>
      </c>
      <c r="I142" s="24" t="n">
        <f aca="false">1-(1-D142)^(H142/12)</f>
        <v>0.513844560130915</v>
      </c>
      <c r="J142" s="24" t="n">
        <f aca="false">IF(G142="Stage 1",D142,I142)</f>
        <v>0.513844560130915</v>
      </c>
      <c r="K142" s="25" t="n">
        <f aca="false">J142*'Cover &amp; Assumptions'!$D$11*E142*'Cover &amp; Assumptions'!$E$11*C142</f>
        <v>9277.71700240829</v>
      </c>
      <c r="L142" s="25" t="n">
        <f aca="false">J142*'Cover &amp; Assumptions'!$D$12*E142*'Cover &amp; Assumptions'!$E$12*C142</f>
        <v>11489.4328203199</v>
      </c>
      <c r="M142" s="25" t="n">
        <f aca="false">J142*'Cover &amp; Assumptions'!$D$13*E142*'Cover &amp; Assumptions'!$E$13*C142</f>
        <v>19991.6131073566</v>
      </c>
      <c r="N142" s="25" t="n">
        <f aca="false">K142*'Cover &amp; Assumptions'!$C$11+L142*'Cover &amp; Assumptions'!$C$12+M142*'Cover &amp; Assumptions'!$C$13</f>
        <v>13172.6347284967</v>
      </c>
    </row>
    <row r="143" customFormat="false" ht="15" hidden="false" customHeight="false" outlineLevel="0" collapsed="false">
      <c r="A143" s="17" t="str">
        <f aca="false">Portfolio!A143</f>
        <v>UKSME-107179</v>
      </c>
      <c r="B143" s="17" t="str">
        <f aca="false">Portfolio!B143</f>
        <v>Real Estate</v>
      </c>
      <c r="C143" s="21" t="n">
        <f aca="false">Portfolio!D143</f>
        <v>145581</v>
      </c>
      <c r="D143" s="22" t="n">
        <f aca="false">Portfolio!G143</f>
        <v>0.157431912977785</v>
      </c>
      <c r="E143" s="23" t="n">
        <f aca="false">Portfolio!E143</f>
        <v>0.345</v>
      </c>
      <c r="F143" s="17" t="n">
        <f aca="false">Portfolio!F143</f>
        <v>0</v>
      </c>
      <c r="G143" s="16" t="str">
        <f aca="false">IF(OR(F143&gt;='Cover &amp; Assumptions'!$C$22,Portfolio!I143=1),"Stage 3",IF(OR(F143&gt;=30,D143&gt;'Cover &amp; Assumptions'!$C$21),"Stage 2","Stage 1"))</f>
        <v>Stage 2</v>
      </c>
      <c r="H143" s="16" t="n">
        <f aca="false">IF(G143="Stage 1",12,MIN(Portfolio!H143,60))</f>
        <v>60</v>
      </c>
      <c r="I143" s="24" t="n">
        <f aca="false">1-(1-D143)^(H143/12)</f>
        <v>0.575355963770653</v>
      </c>
      <c r="J143" s="24" t="n">
        <f aca="false">IF(G143="Stage 1",D143,I143)</f>
        <v>0.575355963770653</v>
      </c>
      <c r="K143" s="25" t="n">
        <f aca="false">J143*'Cover &amp; Assumptions'!$D$11*E143*'Cover &amp; Assumptions'!$E$11*C143</f>
        <v>23334.7387708813</v>
      </c>
      <c r="L143" s="25" t="n">
        <f aca="false">J143*'Cover &amp; Assumptions'!$D$12*E143*'Cover &amp; Assumptions'!$E$12*C143</f>
        <v>28897.5093137849</v>
      </c>
      <c r="M143" s="25" t="n">
        <f aca="false">J143*'Cover &amp; Assumptions'!$D$13*E143*'Cover &amp; Assumptions'!$E$13*C143</f>
        <v>50281.6662059858</v>
      </c>
      <c r="N143" s="25" t="n">
        <f aca="false">K143*'Cover &amp; Assumptions'!$C$11+L143*'Cover &amp; Assumptions'!$C$12+M143*'Cover &amp; Assumptions'!$C$13</f>
        <v>33130.9944282544</v>
      </c>
    </row>
    <row r="144" customFormat="false" ht="15" hidden="false" customHeight="false" outlineLevel="0" collapsed="false">
      <c r="A144" s="17" t="str">
        <f aca="false">Portfolio!A144</f>
        <v>UKSME-101543</v>
      </c>
      <c r="B144" s="17" t="str">
        <f aca="false">Portfolio!B144</f>
        <v>Manufacturing</v>
      </c>
      <c r="C144" s="21" t="n">
        <f aca="false">Portfolio!D144</f>
        <v>40525</v>
      </c>
      <c r="D144" s="22" t="n">
        <f aca="false">Portfolio!G144</f>
        <v>0.156608247843941</v>
      </c>
      <c r="E144" s="23" t="n">
        <f aca="false">Portfolio!E144</f>
        <v>0.188</v>
      </c>
      <c r="F144" s="17" t="n">
        <f aca="false">Portfolio!F144</f>
        <v>0</v>
      </c>
      <c r="G144" s="16" t="str">
        <f aca="false">IF(OR(F144&gt;='Cover &amp; Assumptions'!$C$22,Portfolio!I144=1),"Stage 3",IF(OR(F144&gt;=30,D144&gt;'Cover &amp; Assumptions'!$C$21),"Stage 2","Stage 1"))</f>
        <v>Stage 2</v>
      </c>
      <c r="H144" s="16" t="n">
        <f aca="false">IF(G144="Stage 1",12,MIN(Portfolio!H144,60))</f>
        <v>24</v>
      </c>
      <c r="I144" s="24" t="n">
        <f aca="false">1-(1-D144)^(H144/12)</f>
        <v>0.288690352395133</v>
      </c>
      <c r="J144" s="24" t="n">
        <f aca="false">IF(G144="Stage 1",D144,I144)</f>
        <v>0.288690352395133</v>
      </c>
      <c r="K144" s="25" t="n">
        <f aca="false">J144*'Cover &amp; Assumptions'!$D$11*E144*'Cover &amp; Assumptions'!$E$11*C144</f>
        <v>1776.05198914269</v>
      </c>
      <c r="L144" s="25" t="n">
        <f aca="false">J144*'Cover &amp; Assumptions'!$D$12*E144*'Cover &amp; Assumptions'!$E$12*C144</f>
        <v>2199.4451877928</v>
      </c>
      <c r="M144" s="25" t="n">
        <f aca="false">J144*'Cover &amp; Assumptions'!$D$13*E144*'Cover &amp; Assumptions'!$E$13*C144</f>
        <v>3827.03462675947</v>
      </c>
      <c r="N144" s="25" t="n">
        <f aca="false">K144*'Cover &amp; Assumptions'!$C$11+L144*'Cover &amp; Assumptions'!$C$12+M144*'Cover &amp; Assumptions'!$C$13</f>
        <v>2521.66390780444</v>
      </c>
    </row>
    <row r="145" customFormat="false" ht="15" hidden="false" customHeight="false" outlineLevel="0" collapsed="false">
      <c r="A145" s="17" t="str">
        <f aca="false">Portfolio!A145</f>
        <v>UKSME-107170</v>
      </c>
      <c r="B145" s="17" t="str">
        <f aca="false">Portfolio!B145</f>
        <v>Real Estate</v>
      </c>
      <c r="C145" s="21" t="n">
        <f aca="false">Portfolio!D145</f>
        <v>22482</v>
      </c>
      <c r="D145" s="22" t="n">
        <f aca="false">Portfolio!G145</f>
        <v>0.193824128625865</v>
      </c>
      <c r="E145" s="23" t="n">
        <f aca="false">Portfolio!E145</f>
        <v>0.389</v>
      </c>
      <c r="F145" s="17" t="n">
        <f aca="false">Portfolio!F145</f>
        <v>0</v>
      </c>
      <c r="G145" s="16" t="str">
        <f aca="false">IF(OR(F145&gt;='Cover &amp; Assumptions'!$C$22,Portfolio!I145=1),"Stage 3",IF(OR(F145&gt;=30,D145&gt;'Cover &amp; Assumptions'!$C$21),"Stage 2","Stage 1"))</f>
        <v>Stage 3</v>
      </c>
      <c r="H145" s="16" t="n">
        <f aca="false">IF(G145="Stage 1",12,MIN(Portfolio!H145,60))</f>
        <v>60</v>
      </c>
      <c r="I145" s="24" t="n">
        <f aca="false">1-(1-D145)^(H145/12)</f>
        <v>0.659475018134779</v>
      </c>
      <c r="J145" s="24" t="n">
        <f aca="false">IF(G145="Stage 1",D145,I145)</f>
        <v>0.659475018134779</v>
      </c>
      <c r="K145" s="25" t="n">
        <f aca="false">J145*'Cover &amp; Assumptions'!$D$11*E145*'Cover &amp; Assumptions'!$E$11*C145</f>
        <v>4657.20574260925</v>
      </c>
      <c r="L145" s="25" t="n">
        <f aca="false">J145*'Cover &amp; Assumptions'!$D$12*E145*'Cover &amp; Assumptions'!$E$12*C145</f>
        <v>5767.43745214768</v>
      </c>
      <c r="M145" s="25" t="n">
        <f aca="false">J145*'Cover &amp; Assumptions'!$D$13*E145*'Cover &amp; Assumptions'!$E$13*C145</f>
        <v>10035.341166737</v>
      </c>
      <c r="N145" s="25" t="n">
        <f aca="false">K145*'Cover &amp; Assumptions'!$C$11+L145*'Cover &amp; Assumptions'!$C$12+M145*'Cover &amp; Assumptions'!$C$13</f>
        <v>6612.36703888731</v>
      </c>
    </row>
    <row r="146" customFormat="false" ht="15" hidden="false" customHeight="false" outlineLevel="0" collapsed="false">
      <c r="A146" s="17" t="str">
        <f aca="false">Portfolio!A146</f>
        <v>UKSME-100948</v>
      </c>
      <c r="B146" s="17" t="str">
        <f aca="false">Portfolio!B146</f>
        <v>Technology</v>
      </c>
      <c r="C146" s="21" t="n">
        <f aca="false">Portfolio!D146</f>
        <v>65521</v>
      </c>
      <c r="D146" s="22" t="n">
        <f aca="false">Portfolio!G146</f>
        <v>0.12713460665868</v>
      </c>
      <c r="E146" s="23" t="n">
        <f aca="false">Portfolio!E146</f>
        <v>0.462</v>
      </c>
      <c r="F146" s="17" t="n">
        <f aca="false">Portfolio!F146</f>
        <v>0</v>
      </c>
      <c r="G146" s="16" t="str">
        <f aca="false">IF(OR(F146&gt;='Cover &amp; Assumptions'!$C$22,Portfolio!I146=1),"Stage 3",IF(OR(F146&gt;=30,D146&gt;'Cover &amp; Assumptions'!$C$21),"Stage 2","Stage 1"))</f>
        <v>Stage 3</v>
      </c>
      <c r="H146" s="16" t="n">
        <f aca="false">IF(G146="Stage 1",12,MIN(Portfolio!H146,60))</f>
        <v>60</v>
      </c>
      <c r="I146" s="24" t="n">
        <f aca="false">1-(1-D146)^(H146/12)</f>
        <v>0.493316949701071</v>
      </c>
      <c r="J146" s="24" t="n">
        <f aca="false">IF(G146="Stage 1",D146,I146)</f>
        <v>0.493316949701071</v>
      </c>
      <c r="K146" s="25" t="n">
        <f aca="false">J146*'Cover &amp; Assumptions'!$D$11*E146*'Cover &amp; Assumptions'!$E$11*C146</f>
        <v>12058.4381785797</v>
      </c>
      <c r="L146" s="25" t="n">
        <f aca="false">J146*'Cover &amp; Assumptions'!$D$12*E146*'Cover &amp; Assumptions'!$E$12*C146</f>
        <v>14933.0503759501</v>
      </c>
      <c r="M146" s="25" t="n">
        <f aca="false">J146*'Cover &amp; Assumptions'!$D$13*E146*'Cover &amp; Assumptions'!$E$13*C146</f>
        <v>25983.5076541532</v>
      </c>
      <c r="N146" s="25" t="n">
        <f aca="false">K146*'Cover &amp; Assumptions'!$C$11+L146*'Cover &amp; Assumptions'!$C$12+M146*'Cover &amp; Assumptions'!$C$13</f>
        <v>17120.7422560268</v>
      </c>
    </row>
    <row r="147" customFormat="false" ht="15" hidden="false" customHeight="false" outlineLevel="0" collapsed="false">
      <c r="A147" s="17" t="str">
        <f aca="false">Portfolio!A147</f>
        <v>UKSME-100533</v>
      </c>
      <c r="B147" s="17" t="str">
        <f aca="false">Portfolio!B147</f>
        <v>Transport</v>
      </c>
      <c r="C147" s="21" t="n">
        <f aca="false">Portfolio!D147</f>
        <v>83721</v>
      </c>
      <c r="D147" s="22" t="n">
        <f aca="false">Portfolio!G147</f>
        <v>0.167677969550525</v>
      </c>
      <c r="E147" s="23" t="n">
        <f aca="false">Portfolio!E147</f>
        <v>0.185</v>
      </c>
      <c r="F147" s="17" t="n">
        <f aca="false">Portfolio!F147</f>
        <v>0</v>
      </c>
      <c r="G147" s="16" t="str">
        <f aca="false">IF(OR(F147&gt;='Cover &amp; Assumptions'!$C$22,Portfolio!I147=1),"Stage 3",IF(OR(F147&gt;=30,D147&gt;'Cover &amp; Assumptions'!$C$21),"Stage 2","Stage 1"))</f>
        <v>Stage 2</v>
      </c>
      <c r="H147" s="16" t="n">
        <f aca="false">IF(G147="Stage 1",12,MIN(Portfolio!H147,60))</f>
        <v>48</v>
      </c>
      <c r="I147" s="24" t="n">
        <f aca="false">1-(1-D147)^(H147/12)</f>
        <v>0.520083634534986</v>
      </c>
      <c r="J147" s="24" t="n">
        <f aca="false">IF(G147="Stage 1",D147,I147)</f>
        <v>0.520083634534986</v>
      </c>
      <c r="K147" s="25" t="n">
        <f aca="false">J147*'Cover &amp; Assumptions'!$D$11*E147*'Cover &amp; Assumptions'!$E$11*C147</f>
        <v>6504.61886783081</v>
      </c>
      <c r="L147" s="25" t="n">
        <f aca="false">J147*'Cover &amp; Assumptions'!$D$12*E147*'Cover &amp; Assumptions'!$E$12*C147</f>
        <v>8055.25556387716</v>
      </c>
      <c r="M147" s="25" t="n">
        <f aca="false">J147*'Cover &amp; Assumptions'!$D$13*E147*'Cover &amp; Assumptions'!$E$13*C147</f>
        <v>14016.1446811463</v>
      </c>
      <c r="N147" s="25" t="n">
        <f aca="false">K147*'Cover &amp; Assumptions'!$C$11+L147*'Cover &amp; Assumptions'!$C$12+M147*'Cover &amp; Assumptions'!$C$13</f>
        <v>9235.35050398516</v>
      </c>
    </row>
    <row r="148" customFormat="false" ht="15" hidden="false" customHeight="false" outlineLevel="0" collapsed="false">
      <c r="A148" s="17" t="str">
        <f aca="false">Portfolio!A148</f>
        <v>UKSME-102755</v>
      </c>
      <c r="B148" s="17" t="str">
        <f aca="false">Portfolio!B148</f>
        <v>Hospitality</v>
      </c>
      <c r="C148" s="21" t="n">
        <f aca="false">Portfolio!D148</f>
        <v>268328</v>
      </c>
      <c r="D148" s="22" t="n">
        <f aca="false">Portfolio!G148</f>
        <v>0.184686652645257</v>
      </c>
      <c r="E148" s="23" t="n">
        <f aca="false">Portfolio!E148</f>
        <v>0.19</v>
      </c>
      <c r="F148" s="17" t="n">
        <f aca="false">Portfolio!F148</f>
        <v>0</v>
      </c>
      <c r="G148" s="16" t="str">
        <f aca="false">IF(OR(F148&gt;='Cover &amp; Assumptions'!$C$22,Portfolio!I148=1),"Stage 3",IF(OR(F148&gt;=30,D148&gt;'Cover &amp; Assumptions'!$C$21),"Stage 2","Stage 1"))</f>
        <v>Stage 2</v>
      </c>
      <c r="H148" s="16" t="n">
        <f aca="false">IF(G148="Stage 1",12,MIN(Portfolio!H148,60))</f>
        <v>60</v>
      </c>
      <c r="I148" s="24" t="n">
        <f aca="false">1-(1-D148)^(H148/12)</f>
        <v>0.639734428812917</v>
      </c>
      <c r="J148" s="24" t="n">
        <f aca="false">IF(G148="Stage 1",D148,I148)</f>
        <v>0.639734428812917</v>
      </c>
      <c r="K148" s="25" t="n">
        <f aca="false">J148*'Cover &amp; Assumptions'!$D$11*E148*'Cover &amp; Assumptions'!$E$11*C148</f>
        <v>26336.7298820415</v>
      </c>
      <c r="L148" s="25" t="n">
        <f aca="false">J148*'Cover &amp; Assumptions'!$D$12*E148*'Cover &amp; Assumptions'!$E$12*C148</f>
        <v>32615.1453647573</v>
      </c>
      <c r="M148" s="25" t="n">
        <f aca="false">J148*'Cover &amp; Assumptions'!$D$13*E148*'Cover &amp; Assumptions'!$E$13*C148</f>
        <v>56750.3529346778</v>
      </c>
      <c r="N148" s="25" t="n">
        <f aca="false">K148*'Cover &amp; Assumptions'!$C$11+L148*'Cover &amp; Assumptions'!$C$12+M148*'Cover &amp; Assumptions'!$C$13</f>
        <v>37393.2641606943</v>
      </c>
    </row>
    <row r="149" customFormat="false" ht="15" hidden="false" customHeight="false" outlineLevel="0" collapsed="false">
      <c r="A149" s="17" t="str">
        <f aca="false">Portfolio!A149</f>
        <v>UKSME-107167</v>
      </c>
      <c r="B149" s="17" t="str">
        <f aca="false">Portfolio!B149</f>
        <v>Manufacturing</v>
      </c>
      <c r="C149" s="21" t="n">
        <f aca="false">Portfolio!D149</f>
        <v>113323</v>
      </c>
      <c r="D149" s="22" t="n">
        <f aca="false">Portfolio!G149</f>
        <v>0.359706567395613</v>
      </c>
      <c r="E149" s="23" t="n">
        <f aca="false">Portfolio!E149</f>
        <v>0.371</v>
      </c>
      <c r="F149" s="17" t="n">
        <f aca="false">Portfolio!F149</f>
        <v>0</v>
      </c>
      <c r="G149" s="16" t="str">
        <f aca="false">IF(OR(F149&gt;='Cover &amp; Assumptions'!$C$22,Portfolio!I149=1),"Stage 3",IF(OR(F149&gt;=30,D149&gt;'Cover &amp; Assumptions'!$C$21),"Stage 2","Stage 1"))</f>
        <v>Stage 3</v>
      </c>
      <c r="H149" s="16" t="n">
        <f aca="false">IF(G149="Stage 1",12,MIN(Portfolio!H149,60))</f>
        <v>60</v>
      </c>
      <c r="I149" s="24" t="n">
        <f aca="false">1-(1-D149)^(H149/12)</f>
        <v>0.892379442674183</v>
      </c>
      <c r="J149" s="24" t="n">
        <f aca="false">IF(G149="Stage 1",D149,I149)</f>
        <v>0.892379442674183</v>
      </c>
      <c r="K149" s="25" t="n">
        <f aca="false">J149*'Cover &amp; Assumptions'!$D$11*E149*'Cover &amp; Assumptions'!$E$11*C149</f>
        <v>30295.9141038944</v>
      </c>
      <c r="L149" s="25" t="n">
        <f aca="false">J149*'Cover &amp; Assumptions'!$D$12*E149*'Cover &amp; Assumptions'!$E$12*C149</f>
        <v>37518.1598809837</v>
      </c>
      <c r="M149" s="25" t="n">
        <f aca="false">J149*'Cover &amp; Assumptions'!$D$13*E149*'Cover &amp; Assumptions'!$E$13*C149</f>
        <v>65281.5981929117</v>
      </c>
      <c r="N149" s="25" t="n">
        <f aca="false">K149*'Cover &amp; Assumptions'!$C$11+L149*'Cover &amp; Assumptions'!$C$12+M149*'Cover &amp; Assumptions'!$C$13</f>
        <v>43014.5703035479</v>
      </c>
    </row>
    <row r="150" customFormat="false" ht="15" hidden="false" customHeight="false" outlineLevel="0" collapsed="false">
      <c r="A150" s="17" t="str">
        <f aca="false">Portfolio!A150</f>
        <v>UKSME-101657</v>
      </c>
      <c r="B150" s="17" t="str">
        <f aca="false">Portfolio!B150</f>
        <v>Technology</v>
      </c>
      <c r="C150" s="21" t="n">
        <f aca="false">Portfolio!D150</f>
        <v>67216</v>
      </c>
      <c r="D150" s="22" t="n">
        <f aca="false">Portfolio!G150</f>
        <v>0.153281946065557</v>
      </c>
      <c r="E150" s="23" t="n">
        <f aca="false">Portfolio!E150</f>
        <v>0.21</v>
      </c>
      <c r="F150" s="17" t="n">
        <f aca="false">Portfolio!F150</f>
        <v>0</v>
      </c>
      <c r="G150" s="16" t="str">
        <f aca="false">IF(OR(F150&gt;='Cover &amp; Assumptions'!$C$22,Portfolio!I150=1),"Stage 3",IF(OR(F150&gt;=30,D150&gt;'Cover &amp; Assumptions'!$C$21),"Stage 2","Stage 1"))</f>
        <v>Stage 2</v>
      </c>
      <c r="H150" s="16" t="n">
        <f aca="false">IF(G150="Stage 1",12,MIN(Portfolio!H150,60))</f>
        <v>60</v>
      </c>
      <c r="I150" s="24" t="n">
        <f aca="false">1-(1-D150)^(H150/12)</f>
        <v>0.564794775758233</v>
      </c>
      <c r="J150" s="24" t="n">
        <f aca="false">IF(G150="Stage 1",D150,I150)</f>
        <v>0.564794775758233</v>
      </c>
      <c r="K150" s="25" t="n">
        <f aca="false">J150*'Cover &amp; Assumptions'!$D$11*E150*'Cover &amp; Assumptions'!$E$11*C150</f>
        <v>6437.61738065199</v>
      </c>
      <c r="L150" s="25" t="n">
        <f aca="false">J150*'Cover &amp; Assumptions'!$D$12*E150*'Cover &amp; Assumptions'!$E$12*C150</f>
        <v>7972.28158594673</v>
      </c>
      <c r="M150" s="25" t="n">
        <f aca="false">J150*'Cover &amp; Assumptions'!$D$13*E150*'Cover &amp; Assumptions'!$E$13*C150</f>
        <v>13871.7699595473</v>
      </c>
      <c r="N150" s="25" t="n">
        <f aca="false">K150*'Cover &amp; Assumptions'!$C$11+L150*'Cover &amp; Assumptions'!$C$12+M150*'Cover &amp; Assumptions'!$C$13</f>
        <v>9140.22083828793</v>
      </c>
    </row>
    <row r="151" customFormat="false" ht="15" hidden="false" customHeight="false" outlineLevel="0" collapsed="false">
      <c r="A151" s="17" t="str">
        <f aca="false">Portfolio!A151</f>
        <v>UKSME-102971</v>
      </c>
      <c r="B151" s="17" t="str">
        <f aca="false">Portfolio!B151</f>
        <v>Manufacturing</v>
      </c>
      <c r="C151" s="21" t="n">
        <f aca="false">Portfolio!D151</f>
        <v>71357</v>
      </c>
      <c r="D151" s="22" t="n">
        <f aca="false">Portfolio!G151</f>
        <v>0.85255270925879</v>
      </c>
      <c r="E151" s="23" t="n">
        <f aca="false">Portfolio!E151</f>
        <v>0.431</v>
      </c>
      <c r="F151" s="17" t="n">
        <f aca="false">Portfolio!F151</f>
        <v>0</v>
      </c>
      <c r="G151" s="16" t="str">
        <f aca="false">IF(OR(F151&gt;='Cover &amp; Assumptions'!$C$22,Portfolio!I151=1),"Stage 3",IF(OR(F151&gt;=30,D151&gt;'Cover &amp; Assumptions'!$C$21),"Stage 2","Stage 1"))</f>
        <v>Stage 3</v>
      </c>
      <c r="H151" s="16" t="n">
        <f aca="false">IF(G151="Stage 1",12,MIN(Portfolio!H151,60))</f>
        <v>36</v>
      </c>
      <c r="I151" s="24" t="n">
        <f aca="false">1-(1-D151)^(H151/12)</f>
        <v>0.996794392163198</v>
      </c>
      <c r="J151" s="24" t="n">
        <f aca="false">IF(G151="Stage 1",D151,I151)</f>
        <v>0.996794392163198</v>
      </c>
      <c r="K151" s="25" t="n">
        <f aca="false">J151*'Cover &amp; Assumptions'!$D$11*E151*'Cover &amp; Assumptions'!$E$11*C151</f>
        <v>24754.94525804</v>
      </c>
      <c r="L151" s="25" t="n">
        <f aca="false">J151*'Cover &amp; Assumptions'!$D$12*E151*'Cover &amp; Assumptions'!$E$12*C151</f>
        <v>30656.278957325</v>
      </c>
      <c r="M151" s="25" t="n">
        <f aca="false">J151*'Cover &amp; Assumptions'!$D$13*E151*'Cover &amp; Assumptions'!$E$13*C151</f>
        <v>53341.9253857455</v>
      </c>
      <c r="N151" s="25" t="n">
        <f aca="false">K151*'Cover &amp; Assumptions'!$C$11+L151*'Cover &amp; Assumptions'!$C$12+M151*'Cover &amp; Assumptions'!$C$13</f>
        <v>35147.4238245731</v>
      </c>
    </row>
    <row r="152" customFormat="false" ht="15" hidden="false" customHeight="false" outlineLevel="0" collapsed="false">
      <c r="A152" s="17" t="str">
        <f aca="false">Portfolio!A152</f>
        <v>UKSME-103253</v>
      </c>
      <c r="B152" s="17" t="str">
        <f aca="false">Portfolio!B152</f>
        <v>Construction</v>
      </c>
      <c r="C152" s="21" t="n">
        <f aca="false">Portfolio!D152</f>
        <v>59586</v>
      </c>
      <c r="D152" s="22" t="n">
        <f aca="false">Portfolio!G152</f>
        <v>0.098705066913412</v>
      </c>
      <c r="E152" s="23" t="n">
        <f aca="false">Portfolio!E152</f>
        <v>0.517</v>
      </c>
      <c r="F152" s="17" t="n">
        <f aca="false">Portfolio!F152</f>
        <v>0</v>
      </c>
      <c r="G152" s="16" t="str">
        <f aca="false">IF(OR(F152&gt;='Cover &amp; Assumptions'!$C$22,Portfolio!I152=1),"Stage 3",IF(OR(F152&gt;=30,D152&gt;'Cover &amp; Assumptions'!$C$21),"Stage 2","Stage 1"))</f>
        <v>Stage 3</v>
      </c>
      <c r="H152" s="16" t="n">
        <f aca="false">IF(G152="Stage 1",12,MIN(Portfolio!H152,60))</f>
        <v>48</v>
      </c>
      <c r="I152" s="24" t="n">
        <f aca="false">1-(1-D152)^(H152/12)</f>
        <v>0.340115817800363</v>
      </c>
      <c r="J152" s="24" t="n">
        <f aca="false">IF(G152="Stage 1",D152,I152)</f>
        <v>0.340115817800363</v>
      </c>
      <c r="K152" s="25" t="n">
        <f aca="false">J152*'Cover &amp; Assumptions'!$D$11*E152*'Cover &amp; Assumptions'!$E$11*C152</f>
        <v>8460.6579291962</v>
      </c>
      <c r="L152" s="25" t="n">
        <f aca="false">J152*'Cover &amp; Assumptions'!$D$12*E152*'Cover &amp; Assumptions'!$E$12*C152</f>
        <v>10477.5949587569</v>
      </c>
      <c r="M152" s="25" t="n">
        <f aca="false">J152*'Cover &amp; Assumptions'!$D$13*E152*'Cover &amp; Assumptions'!$E$13*C152</f>
        <v>18231.015228237</v>
      </c>
      <c r="N152" s="25" t="n">
        <f aca="false">K152*'Cover &amp; Assumptions'!$C$11+L152*'Cover &amp; Assumptions'!$C$12+M152*'Cover &amp; Assumptions'!$C$13</f>
        <v>12012.5626202148</v>
      </c>
    </row>
    <row r="153" customFormat="false" ht="15" hidden="false" customHeight="false" outlineLevel="0" collapsed="false">
      <c r="A153" s="17" t="str">
        <f aca="false">Portfolio!A153</f>
        <v>UKSME-102701</v>
      </c>
      <c r="B153" s="17" t="str">
        <f aca="false">Portfolio!B153</f>
        <v>Wholesale</v>
      </c>
      <c r="C153" s="21" t="n">
        <f aca="false">Portfolio!D153</f>
        <v>19525</v>
      </c>
      <c r="D153" s="22" t="n">
        <f aca="false">Portfolio!G153</f>
        <v>0.253175241703473</v>
      </c>
      <c r="E153" s="23" t="n">
        <f aca="false">Portfolio!E153</f>
        <v>0.05</v>
      </c>
      <c r="F153" s="17" t="n">
        <f aca="false">Portfolio!F153</f>
        <v>0</v>
      </c>
      <c r="G153" s="16" t="str">
        <f aca="false">IF(OR(F153&gt;='Cover &amp; Assumptions'!$C$22,Portfolio!I153=1),"Stage 3",IF(OR(F153&gt;=30,D153&gt;'Cover &amp; Assumptions'!$C$21),"Stage 2","Stage 1"))</f>
        <v>Stage 2</v>
      </c>
      <c r="H153" s="16" t="n">
        <f aca="false">IF(G153="Stage 1",12,MIN(Portfolio!H153,60))</f>
        <v>48</v>
      </c>
      <c r="I153" s="24" t="n">
        <f aca="false">1-(1-D153)^(H153/12)</f>
        <v>0.688918039023264</v>
      </c>
      <c r="J153" s="24" t="n">
        <f aca="false">IF(G153="Stage 1",D153,I153)</f>
        <v>0.688918039023264</v>
      </c>
      <c r="K153" s="25" t="n">
        <f aca="false">J153*'Cover &amp; Assumptions'!$D$11*E153*'Cover &amp; Assumptions'!$E$11*C153</f>
        <v>543.089160244143</v>
      </c>
      <c r="L153" s="25" t="n">
        <f aca="false">J153*'Cover &amp; Assumptions'!$D$12*E153*'Cover &amp; Assumptions'!$E$12*C153</f>
        <v>672.556235596461</v>
      </c>
      <c r="M153" s="25" t="n">
        <f aca="false">J153*'Cover &amp; Assumptions'!$D$13*E153*'Cover &amp; Assumptions'!$E$13*C153</f>
        <v>1170.24784993784</v>
      </c>
      <c r="N153" s="25" t="n">
        <f aca="false">K153*'Cover &amp; Assumptions'!$C$11+L153*'Cover &amp; Assumptions'!$C$12+M153*'Cover &amp; Assumptions'!$C$13</f>
        <v>771.085724111343</v>
      </c>
    </row>
    <row r="154" customFormat="false" ht="15" hidden="false" customHeight="false" outlineLevel="0" collapsed="false">
      <c r="A154" s="17" t="str">
        <f aca="false">Portfolio!A154</f>
        <v>UKSME-106838</v>
      </c>
      <c r="B154" s="17" t="str">
        <f aca="false">Portfolio!B154</f>
        <v>Real Estate</v>
      </c>
      <c r="C154" s="21" t="n">
        <f aca="false">Portfolio!D154</f>
        <v>107163</v>
      </c>
      <c r="D154" s="22" t="n">
        <f aca="false">Portfolio!G154</f>
        <v>0.179989694901758</v>
      </c>
      <c r="E154" s="23" t="n">
        <f aca="false">Portfolio!E154</f>
        <v>0.614</v>
      </c>
      <c r="F154" s="17" t="n">
        <f aca="false">Portfolio!F154</f>
        <v>0</v>
      </c>
      <c r="G154" s="16" t="str">
        <f aca="false">IF(OR(F154&gt;='Cover &amp; Assumptions'!$C$22,Portfolio!I154=1),"Stage 3",IF(OR(F154&gt;=30,D154&gt;'Cover &amp; Assumptions'!$C$21),"Stage 2","Stage 1"))</f>
        <v>Stage 3</v>
      </c>
      <c r="H154" s="16" t="n">
        <f aca="false">IF(G154="Stage 1",12,MIN(Portfolio!H154,60))</f>
        <v>36</v>
      </c>
      <c r="I154" s="24" t="n">
        <f aca="false">1-(1-D154)^(H154/12)</f>
        <v>0.448611212294585</v>
      </c>
      <c r="J154" s="24" t="n">
        <f aca="false">IF(G154="Stage 1",D154,I154)</f>
        <v>0.448611212294585</v>
      </c>
      <c r="K154" s="25" t="n">
        <f aca="false">J154*'Cover &amp; Assumptions'!$D$11*E154*'Cover &amp; Assumptions'!$E$11*C154</f>
        <v>23835.5890461379</v>
      </c>
      <c r="L154" s="25" t="n">
        <f aca="false">J154*'Cover &amp; Assumptions'!$D$12*E154*'Cover &amp; Assumptions'!$E$12*C154</f>
        <v>29517.7573326785</v>
      </c>
      <c r="M154" s="25" t="n">
        <f aca="false">J154*'Cover &amp; Assumptions'!$D$13*E154*'Cover &amp; Assumptions'!$E$13*C154</f>
        <v>51360.8977588606</v>
      </c>
      <c r="N154" s="25" t="n">
        <f aca="false">K154*'Cover &amp; Assumptions'!$C$11+L154*'Cover &amp; Assumptions'!$C$12+M154*'Cover &amp; Assumptions'!$C$13</f>
        <v>33842.1087819159</v>
      </c>
    </row>
    <row r="155" customFormat="false" ht="15" hidden="false" customHeight="false" outlineLevel="0" collapsed="false">
      <c r="A155" s="17" t="str">
        <f aca="false">Portfolio!A155</f>
        <v>UKSME-108124</v>
      </c>
      <c r="B155" s="17" t="str">
        <f aca="false">Portfolio!B155</f>
        <v>Wholesale</v>
      </c>
      <c r="C155" s="21" t="n">
        <f aca="false">Portfolio!D155</f>
        <v>153000</v>
      </c>
      <c r="D155" s="22" t="n">
        <f aca="false">Portfolio!G155</f>
        <v>0.138012186766264</v>
      </c>
      <c r="E155" s="23" t="n">
        <f aca="false">Portfolio!E155</f>
        <v>0.405</v>
      </c>
      <c r="F155" s="17" t="n">
        <f aca="false">Portfolio!F155</f>
        <v>0</v>
      </c>
      <c r="G155" s="16" t="str">
        <f aca="false">IF(OR(F155&gt;='Cover &amp; Assumptions'!$C$22,Portfolio!I155=1),"Stage 3",IF(OR(F155&gt;=30,D155&gt;'Cover &amp; Assumptions'!$C$21),"Stage 2","Stage 1"))</f>
        <v>Stage 1</v>
      </c>
      <c r="H155" s="16" t="n">
        <f aca="false">IF(G155="Stage 1",12,MIN(Portfolio!H155,60))</f>
        <v>12</v>
      </c>
      <c r="I155" s="24" t="n">
        <f aca="false">1-(1-D155)^(H155/12)</f>
        <v>0.138012186766264</v>
      </c>
      <c r="J155" s="24" t="n">
        <f aca="false">IF(G155="Stage 1",D155,I155)</f>
        <v>0.138012186766264</v>
      </c>
      <c r="K155" s="25" t="n">
        <f aca="false">J155*'Cover &amp; Assumptions'!$D$11*E155*'Cover &amp; Assumptions'!$E$11*C155</f>
        <v>6905.67956102452</v>
      </c>
      <c r="L155" s="25" t="n">
        <f aca="false">J155*'Cover &amp; Assumptions'!$D$12*E155*'Cover &amp; Assumptions'!$E$12*C155</f>
        <v>8551.92515297154</v>
      </c>
      <c r="M155" s="25" t="n">
        <f aca="false">J155*'Cover &amp; Assumptions'!$D$13*E155*'Cover &amp; Assumptions'!$E$13*C155</f>
        <v>14880.3497661705</v>
      </c>
      <c r="N155" s="25" t="n">
        <f aca="false">K155*'Cover &amp; Assumptions'!$C$11+L155*'Cover &amp; Assumptions'!$C$12+M155*'Cover &amp; Assumptions'!$C$13</f>
        <v>9804.78218788187</v>
      </c>
    </row>
    <row r="156" customFormat="false" ht="15" hidden="false" customHeight="false" outlineLevel="0" collapsed="false">
      <c r="A156" s="17" t="str">
        <f aca="false">Portfolio!A156</f>
        <v>UKSME-100934</v>
      </c>
      <c r="B156" s="17" t="str">
        <f aca="false">Portfolio!B156</f>
        <v>Professional Services</v>
      </c>
      <c r="C156" s="21" t="n">
        <f aca="false">Portfolio!D156</f>
        <v>25181</v>
      </c>
      <c r="D156" s="22" t="n">
        <f aca="false">Portfolio!G156</f>
        <v>0.178064846742305</v>
      </c>
      <c r="E156" s="23" t="n">
        <f aca="false">Portfolio!E156</f>
        <v>0.748</v>
      </c>
      <c r="F156" s="17" t="n">
        <f aca="false">Portfolio!F156</f>
        <v>0</v>
      </c>
      <c r="G156" s="16" t="str">
        <f aca="false">IF(OR(F156&gt;='Cover &amp; Assumptions'!$C$22,Portfolio!I156=1),"Stage 3",IF(OR(F156&gt;=30,D156&gt;'Cover &amp; Assumptions'!$C$21),"Stage 2","Stage 1"))</f>
        <v>Stage 2</v>
      </c>
      <c r="H156" s="16" t="n">
        <f aca="false">IF(G156="Stage 1",12,MIN(Portfolio!H156,60))</f>
        <v>48</v>
      </c>
      <c r="I156" s="24" t="n">
        <f aca="false">1-(1-D156)^(H156/12)</f>
        <v>0.543595181796661</v>
      </c>
      <c r="J156" s="24" t="n">
        <f aca="false">IF(G156="Stage 1",D156,I156)</f>
        <v>0.543595181796661</v>
      </c>
      <c r="K156" s="25" t="n">
        <f aca="false">J156*'Cover &amp; Assumptions'!$D$11*E156*'Cover &amp; Assumptions'!$E$11*C156</f>
        <v>8267.85212748704</v>
      </c>
      <c r="L156" s="25" t="n">
        <f aca="false">J156*'Cover &amp; Assumptions'!$D$12*E156*'Cover &amp; Assumptions'!$E$12*C156</f>
        <v>10238.8261640706</v>
      </c>
      <c r="M156" s="25" t="n">
        <f aca="false">J156*'Cover &amp; Assumptions'!$D$13*E156*'Cover &amp; Assumptions'!$E$13*C156</f>
        <v>17815.5575254829</v>
      </c>
      <c r="N156" s="25" t="n">
        <f aca="false">K156*'Cover &amp; Assumptions'!$C$11+L156*'Cover &amp; Assumptions'!$C$12+M156*'Cover &amp; Assumptions'!$C$13</f>
        <v>11738.814197107</v>
      </c>
    </row>
    <row r="157" customFormat="false" ht="15" hidden="false" customHeight="false" outlineLevel="0" collapsed="false">
      <c r="A157" s="17" t="str">
        <f aca="false">Portfolio!A157</f>
        <v>UKSME-105054</v>
      </c>
      <c r="B157" s="17" t="str">
        <f aca="false">Portfolio!B157</f>
        <v>Professional Services</v>
      </c>
      <c r="C157" s="21" t="n">
        <f aca="false">Portfolio!D157</f>
        <v>92139</v>
      </c>
      <c r="D157" s="22" t="n">
        <f aca="false">Portfolio!G157</f>
        <v>0.123679530812117</v>
      </c>
      <c r="E157" s="23" t="n">
        <f aca="false">Portfolio!E157</f>
        <v>0.771</v>
      </c>
      <c r="F157" s="17" t="n">
        <f aca="false">Portfolio!F157</f>
        <v>0</v>
      </c>
      <c r="G157" s="16" t="str">
        <f aca="false">IF(OR(F157&gt;='Cover &amp; Assumptions'!$C$22,Portfolio!I157=1),"Stage 3",IF(OR(F157&gt;=30,D157&gt;'Cover &amp; Assumptions'!$C$21),"Stage 2","Stage 1"))</f>
        <v>Stage 1</v>
      </c>
      <c r="H157" s="16" t="n">
        <f aca="false">IF(G157="Stage 1",12,MIN(Portfolio!H157,60))</f>
        <v>12</v>
      </c>
      <c r="I157" s="24" t="n">
        <f aca="false">1-(1-D157)^(H157/12)</f>
        <v>0.123679530812116</v>
      </c>
      <c r="J157" s="24" t="n">
        <f aca="false">IF(G157="Stage 1",D157,I157)</f>
        <v>0.123679530812117</v>
      </c>
      <c r="K157" s="25" t="n">
        <f aca="false">J157*'Cover &amp; Assumptions'!$D$11*E157*'Cover &amp; Assumptions'!$E$11*C157</f>
        <v>7094.76855614614</v>
      </c>
      <c r="L157" s="25" t="n">
        <f aca="false">J157*'Cover &amp; Assumptions'!$D$12*E157*'Cover &amp; Assumptions'!$E$12*C157</f>
        <v>8786.09109120265</v>
      </c>
      <c r="M157" s="25" t="n">
        <f aca="false">J157*'Cover &amp; Assumptions'!$D$13*E157*'Cover &amp; Assumptions'!$E$13*C157</f>
        <v>15287.7984986926</v>
      </c>
      <c r="N157" s="25" t="n">
        <f aca="false">K157*'Cover &amp; Assumptions'!$C$11+L157*'Cover &amp; Assumptions'!$C$12+M157*'Cover &amp; Assumptions'!$C$13</f>
        <v>10073.2534360638</v>
      </c>
    </row>
    <row r="158" customFormat="false" ht="15" hidden="false" customHeight="false" outlineLevel="0" collapsed="false">
      <c r="A158" s="17" t="str">
        <f aca="false">Portfolio!A158</f>
        <v>UKSME-100922</v>
      </c>
      <c r="B158" s="17" t="str">
        <f aca="false">Portfolio!B158</f>
        <v>Technology</v>
      </c>
      <c r="C158" s="21" t="n">
        <f aca="false">Portfolio!D158</f>
        <v>112203</v>
      </c>
      <c r="D158" s="22" t="n">
        <f aca="false">Portfolio!G158</f>
        <v>0.172112350709902</v>
      </c>
      <c r="E158" s="23" t="n">
        <f aca="false">Portfolio!E158</f>
        <v>0.57</v>
      </c>
      <c r="F158" s="17" t="n">
        <f aca="false">Portfolio!F158</f>
        <v>0</v>
      </c>
      <c r="G158" s="16" t="str">
        <f aca="false">IF(OR(F158&gt;='Cover &amp; Assumptions'!$C$22,Portfolio!I158=1),"Stage 3",IF(OR(F158&gt;=30,D158&gt;'Cover &amp; Assumptions'!$C$21),"Stage 2","Stage 1"))</f>
        <v>Stage 2</v>
      </c>
      <c r="H158" s="16" t="n">
        <f aca="false">IF(G158="Stage 1",12,MIN(Portfolio!H158,60))</f>
        <v>24</v>
      </c>
      <c r="I158" s="24" t="n">
        <f aca="false">1-(1-D158)^(H158/12)</f>
        <v>0.314602040152915</v>
      </c>
      <c r="J158" s="24" t="n">
        <f aca="false">IF(G158="Stage 1",D158,I158)</f>
        <v>0.314602040152915</v>
      </c>
      <c r="K158" s="25" t="n">
        <f aca="false">J158*'Cover &amp; Assumptions'!$D$11*E158*'Cover &amp; Assumptions'!$E$11*C158</f>
        <v>16247.3819526832</v>
      </c>
      <c r="L158" s="25" t="n">
        <f aca="false">J158*'Cover &amp; Assumptions'!$D$12*E158*'Cover &amp; Assumptions'!$E$12*C158</f>
        <v>20120.5968454282</v>
      </c>
      <c r="M158" s="25" t="n">
        <f aca="false">J158*'Cover &amp; Assumptions'!$D$13*E158*'Cover &amp; Assumptions'!$E$13*C158</f>
        <v>35009.838511045</v>
      </c>
      <c r="N158" s="25" t="n">
        <f aca="false">K158*'Cover &amp; Assumptions'!$C$11+L158*'Cover &amp; Assumptions'!$C$12+M158*'Cover &amp; Assumptions'!$C$13</f>
        <v>23068.2642832834</v>
      </c>
    </row>
    <row r="159" customFormat="false" ht="15" hidden="false" customHeight="false" outlineLevel="0" collapsed="false">
      <c r="A159" s="17" t="str">
        <f aca="false">Portfolio!A159</f>
        <v>UKSME-109571</v>
      </c>
      <c r="B159" s="17" t="str">
        <f aca="false">Portfolio!B159</f>
        <v>Healthcare</v>
      </c>
      <c r="C159" s="21" t="n">
        <f aca="false">Portfolio!D159</f>
        <v>459136</v>
      </c>
      <c r="D159" s="22" t="n">
        <f aca="false">Portfolio!G159</f>
        <v>0.190286236230771</v>
      </c>
      <c r="E159" s="23" t="n">
        <f aca="false">Portfolio!E159</f>
        <v>0.796</v>
      </c>
      <c r="F159" s="17" t="n">
        <f aca="false">Portfolio!F159</f>
        <v>0</v>
      </c>
      <c r="G159" s="16" t="str">
        <f aca="false">IF(OR(F159&gt;='Cover &amp; Assumptions'!$C$22,Portfolio!I159=1),"Stage 3",IF(OR(F159&gt;=30,D159&gt;'Cover &amp; Assumptions'!$C$21),"Stage 2","Stage 1"))</f>
        <v>Stage 2</v>
      </c>
      <c r="H159" s="16" t="n">
        <f aca="false">IF(G159="Stage 1",12,MIN(Portfolio!H159,60))</f>
        <v>60</v>
      </c>
      <c r="I159" s="24" t="n">
        <f aca="false">1-(1-D159)^(H159/12)</f>
        <v>0.651937201196263</v>
      </c>
      <c r="J159" s="24" t="n">
        <f aca="false">IF(G159="Stage 1",D159,I159)</f>
        <v>0.651937201196263</v>
      </c>
      <c r="K159" s="25" t="n">
        <f aca="false">J159*'Cover &amp; Assumptions'!$D$11*E159*'Cover &amp; Assumptions'!$E$11*C159</f>
        <v>192398.954950906</v>
      </c>
      <c r="L159" s="25" t="n">
        <f aca="false">J159*'Cover &amp; Assumptions'!$D$12*E159*'Cover &amp; Assumptions'!$E$12*C159</f>
        <v>238264.959691524</v>
      </c>
      <c r="M159" s="25" t="n">
        <f aca="false">J159*'Cover &amp; Assumptions'!$D$13*E159*'Cover &amp; Assumptions'!$E$13*C159</f>
        <v>414581.029863252</v>
      </c>
      <c r="N159" s="25" t="n">
        <f aca="false">K159*'Cover &amp; Assumptions'!$C$11+L159*'Cover &amp; Assumptions'!$C$12+M159*'Cover &amp; Assumptions'!$C$13</f>
        <v>273170.776286333</v>
      </c>
    </row>
    <row r="160" customFormat="false" ht="15" hidden="false" customHeight="false" outlineLevel="0" collapsed="false">
      <c r="A160" s="17" t="str">
        <f aca="false">Portfolio!A160</f>
        <v>UKSME-106088</v>
      </c>
      <c r="B160" s="17" t="str">
        <f aca="false">Portfolio!B160</f>
        <v>Transport</v>
      </c>
      <c r="C160" s="21" t="n">
        <f aca="false">Portfolio!D160</f>
        <v>423535</v>
      </c>
      <c r="D160" s="22" t="n">
        <f aca="false">Portfolio!G160</f>
        <v>0.134221050759489</v>
      </c>
      <c r="E160" s="23" t="n">
        <f aca="false">Portfolio!E160</f>
        <v>0.28</v>
      </c>
      <c r="F160" s="17" t="n">
        <f aca="false">Portfolio!F160</f>
        <v>15</v>
      </c>
      <c r="G160" s="16" t="str">
        <f aca="false">IF(OR(F160&gt;='Cover &amp; Assumptions'!$C$22,Portfolio!I160=1),"Stage 3",IF(OR(F160&gt;=30,D160&gt;'Cover &amp; Assumptions'!$C$21),"Stage 2","Stage 1"))</f>
        <v>Stage 1</v>
      </c>
      <c r="H160" s="16" t="n">
        <f aca="false">IF(G160="Stage 1",12,MIN(Portfolio!H160,60))</f>
        <v>12</v>
      </c>
      <c r="I160" s="24" t="n">
        <f aca="false">1-(1-D160)^(H160/12)</f>
        <v>0.134221050759489</v>
      </c>
      <c r="J160" s="24" t="n">
        <f aca="false">IF(G160="Stage 1",D160,I160)</f>
        <v>0.134221050759489</v>
      </c>
      <c r="K160" s="25" t="n">
        <f aca="false">J160*'Cover &amp; Assumptions'!$D$11*E160*'Cover &amp; Assumptions'!$E$11*C160</f>
        <v>12853.1774090263</v>
      </c>
      <c r="L160" s="25" t="n">
        <f aca="false">J160*'Cover &amp; Assumptions'!$D$12*E160*'Cover &amp; Assumptions'!$E$12*C160</f>
        <v>15917.2475653576</v>
      </c>
      <c r="M160" s="25" t="n">
        <f aca="false">J160*'Cover &amp; Assumptions'!$D$13*E160*'Cover &amp; Assumptions'!$E$13*C160</f>
        <v>27696.0107637223</v>
      </c>
      <c r="N160" s="25" t="n">
        <f aca="false">K160*'Cover &amp; Assumptions'!$C$11+L160*'Cover &amp; Assumptions'!$C$12+M160*'Cover &amp; Assumptions'!$C$13</f>
        <v>18249.1243336825</v>
      </c>
    </row>
    <row r="161" customFormat="false" ht="15" hidden="false" customHeight="false" outlineLevel="0" collapsed="false">
      <c r="A161" s="17" t="str">
        <f aca="false">Portfolio!A161</f>
        <v>UKSME-104891</v>
      </c>
      <c r="B161" s="17" t="str">
        <f aca="false">Portfolio!B161</f>
        <v>Professional Services</v>
      </c>
      <c r="C161" s="21" t="n">
        <f aca="false">Portfolio!D161</f>
        <v>128685</v>
      </c>
      <c r="D161" s="22" t="n">
        <f aca="false">Portfolio!G161</f>
        <v>0.131136255383796</v>
      </c>
      <c r="E161" s="23" t="n">
        <f aca="false">Portfolio!E161</f>
        <v>0.701</v>
      </c>
      <c r="F161" s="17" t="n">
        <f aca="false">Portfolio!F161</f>
        <v>0</v>
      </c>
      <c r="G161" s="16" t="str">
        <f aca="false">IF(OR(F161&gt;='Cover &amp; Assumptions'!$C$22,Portfolio!I161=1),"Stage 3",IF(OR(F161&gt;=30,D161&gt;'Cover &amp; Assumptions'!$C$21),"Stage 2","Stage 1"))</f>
        <v>Stage 1</v>
      </c>
      <c r="H161" s="16" t="n">
        <f aca="false">IF(G161="Stage 1",12,MIN(Portfolio!H161,60))</f>
        <v>12</v>
      </c>
      <c r="I161" s="24" t="n">
        <f aca="false">1-(1-D161)^(H161/12)</f>
        <v>0.131136255383796</v>
      </c>
      <c r="J161" s="24" t="n">
        <f aca="false">IF(G161="Stage 1",D161,I161)</f>
        <v>0.131136255383796</v>
      </c>
      <c r="K161" s="25" t="n">
        <f aca="false">J161*'Cover &amp; Assumptions'!$D$11*E161*'Cover &amp; Assumptions'!$E$11*C161</f>
        <v>9552.372595589</v>
      </c>
      <c r="L161" s="25" t="n">
        <f aca="false">J161*'Cover &amp; Assumptions'!$D$12*E161*'Cover &amp; Assumptions'!$E$12*C161</f>
        <v>11829.5635858687</v>
      </c>
      <c r="M161" s="25" t="n">
        <f aca="false">J161*'Cover &amp; Assumptions'!$D$13*E161*'Cover &amp; Assumptions'!$E$13*C161</f>
        <v>20583.4406394116</v>
      </c>
      <c r="N161" s="25" t="n">
        <f aca="false">K161*'Cover &amp; Assumptions'!$C$11+L161*'Cover &amp; Assumptions'!$C$12+M161*'Cover &amp; Assumptions'!$C$13</f>
        <v>13562.5946511985</v>
      </c>
    </row>
    <row r="162" customFormat="false" ht="15" hidden="false" customHeight="false" outlineLevel="0" collapsed="false">
      <c r="A162" s="17" t="str">
        <f aca="false">Portfolio!A162</f>
        <v>UKSME-104648</v>
      </c>
      <c r="B162" s="17" t="str">
        <f aca="false">Portfolio!B162</f>
        <v>Retail</v>
      </c>
      <c r="C162" s="21" t="n">
        <f aca="false">Portfolio!D162</f>
        <v>113995</v>
      </c>
      <c r="D162" s="22" t="n">
        <f aca="false">Portfolio!G162</f>
        <v>0.145260016418262</v>
      </c>
      <c r="E162" s="23" t="n">
        <f aca="false">Portfolio!E162</f>
        <v>0.536</v>
      </c>
      <c r="F162" s="17" t="n">
        <f aca="false">Portfolio!F162</f>
        <v>0</v>
      </c>
      <c r="G162" s="16" t="str">
        <f aca="false">IF(OR(F162&gt;='Cover &amp; Assumptions'!$C$22,Portfolio!I162=1),"Stage 3",IF(OR(F162&gt;=30,D162&gt;'Cover &amp; Assumptions'!$C$21),"Stage 2","Stage 1"))</f>
        <v>Stage 1</v>
      </c>
      <c r="H162" s="16" t="n">
        <f aca="false">IF(G162="Stage 1",12,MIN(Portfolio!H162,60))</f>
        <v>12</v>
      </c>
      <c r="I162" s="24" t="n">
        <f aca="false">1-(1-D162)^(H162/12)</f>
        <v>0.145260016418262</v>
      </c>
      <c r="J162" s="24" t="n">
        <f aca="false">IF(G162="Stage 1",D162,I162)</f>
        <v>0.145260016418262</v>
      </c>
      <c r="K162" s="25" t="n">
        <f aca="false">J162*'Cover &amp; Assumptions'!$D$11*E162*'Cover &amp; Assumptions'!$E$11*C162</f>
        <v>7167.02983769982</v>
      </c>
      <c r="L162" s="25" t="n">
        <f aca="false">J162*'Cover &amp; Assumptions'!$D$12*E162*'Cover &amp; Assumptions'!$E$12*C162</f>
        <v>8875.57874637748</v>
      </c>
      <c r="M162" s="25" t="n">
        <f aca="false">J162*'Cover &amp; Assumptions'!$D$13*E162*'Cover &amp; Assumptions'!$E$13*C162</f>
        <v>15443.5070186968</v>
      </c>
      <c r="N162" s="25" t="n">
        <f aca="false">K162*'Cover &amp; Assumptions'!$C$11+L162*'Cover &amp; Assumptions'!$C$12+M162*'Cover &amp; Assumptions'!$C$13</f>
        <v>10175.8510327218</v>
      </c>
    </row>
    <row r="163" customFormat="false" ht="15" hidden="false" customHeight="false" outlineLevel="0" collapsed="false">
      <c r="A163" s="17" t="str">
        <f aca="false">Portfolio!A163</f>
        <v>UKSME-101209</v>
      </c>
      <c r="B163" s="17" t="str">
        <f aca="false">Portfolio!B163</f>
        <v>Professional Services</v>
      </c>
      <c r="C163" s="21" t="n">
        <f aca="false">Portfolio!D163</f>
        <v>23319</v>
      </c>
      <c r="D163" s="22" t="n">
        <f aca="false">Portfolio!G163</f>
        <v>0.204292002783947</v>
      </c>
      <c r="E163" s="23" t="n">
        <f aca="false">Portfolio!E163</f>
        <v>0.102</v>
      </c>
      <c r="F163" s="17" t="n">
        <f aca="false">Portfolio!F163</f>
        <v>15</v>
      </c>
      <c r="G163" s="16" t="str">
        <f aca="false">IF(OR(F163&gt;='Cover &amp; Assumptions'!$C$22,Portfolio!I163=1),"Stage 3",IF(OR(F163&gt;=30,D163&gt;'Cover &amp; Assumptions'!$C$21),"Stage 2","Stage 1"))</f>
        <v>Stage 2</v>
      </c>
      <c r="H163" s="16" t="n">
        <f aca="false">IF(G163="Stage 1",12,MIN(Portfolio!H163,60))</f>
        <v>60</v>
      </c>
      <c r="I163" s="24" t="n">
        <f aca="false">1-(1-D163)^(H163/12)</f>
        <v>0.681016209362571</v>
      </c>
      <c r="J163" s="24" t="n">
        <f aca="false">IF(G163="Stage 1",D163,I163)</f>
        <v>0.681016209362571</v>
      </c>
      <c r="K163" s="25" t="n">
        <f aca="false">J163*'Cover &amp; Assumptions'!$D$11*E163*'Cover &amp; Assumptions'!$E$11*C163</f>
        <v>1308.00701806225</v>
      </c>
      <c r="L163" s="25" t="n">
        <f aca="false">J163*'Cover &amp; Assumptions'!$D$12*E163*'Cover &amp; Assumptions'!$E$12*C163</f>
        <v>1619.82293258483</v>
      </c>
      <c r="M163" s="25" t="n">
        <f aca="false">J163*'Cover &amp; Assumptions'!$D$13*E163*'Cover &amp; Assumptions'!$E$13*C163</f>
        <v>2818.49190269761</v>
      </c>
      <c r="N163" s="25" t="n">
        <f aca="false">K163*'Cover &amp; Assumptions'!$C$11+L163*'Cover &amp; Assumptions'!$C$12+M163*'Cover &amp; Assumptions'!$C$13</f>
        <v>1857.12699220851</v>
      </c>
    </row>
    <row r="164" customFormat="false" ht="15" hidden="false" customHeight="false" outlineLevel="0" collapsed="false">
      <c r="A164" s="17" t="str">
        <f aca="false">Portfolio!A164</f>
        <v>UKSME-104711</v>
      </c>
      <c r="B164" s="17" t="str">
        <f aca="false">Portfolio!B164</f>
        <v>Professional Services</v>
      </c>
      <c r="C164" s="21" t="n">
        <f aca="false">Portfolio!D164</f>
        <v>53426</v>
      </c>
      <c r="D164" s="22" t="n">
        <f aca="false">Portfolio!G164</f>
        <v>0.0070601455355467</v>
      </c>
      <c r="E164" s="23" t="n">
        <f aca="false">Portfolio!E164</f>
        <v>0.176</v>
      </c>
      <c r="F164" s="17" t="n">
        <f aca="false">Portfolio!F164</f>
        <v>0</v>
      </c>
      <c r="G164" s="16" t="str">
        <f aca="false">IF(OR(F164&gt;='Cover &amp; Assumptions'!$C$22,Portfolio!I164=1),"Stage 3",IF(OR(F164&gt;=30,D164&gt;'Cover &amp; Assumptions'!$C$21),"Stage 2","Stage 1"))</f>
        <v>Stage 1</v>
      </c>
      <c r="H164" s="16" t="n">
        <f aca="false">IF(G164="Stage 1",12,MIN(Portfolio!H164,60))</f>
        <v>12</v>
      </c>
      <c r="I164" s="24" t="n">
        <f aca="false">1-(1-D164)^(H164/12)</f>
        <v>0.00706014553554668</v>
      </c>
      <c r="J164" s="24" t="n">
        <f aca="false">IF(G164="Stage 1",D164,I164)</f>
        <v>0.0070601455355467</v>
      </c>
      <c r="K164" s="25" t="n">
        <f aca="false">J164*'Cover &amp; Assumptions'!$D$11*E164*'Cover &amp; Assumptions'!$E$11*C164</f>
        <v>53.6070010645066</v>
      </c>
      <c r="L164" s="25" t="n">
        <f aca="false">J164*'Cover &amp; Assumptions'!$D$12*E164*'Cover &amp; Assumptions'!$E$12*C164</f>
        <v>66.3863790272528</v>
      </c>
      <c r="M164" s="25" t="n">
        <f aca="false">J164*'Cover &amp; Assumptions'!$D$13*E164*'Cover &amp; Assumptions'!$E$13*C164</f>
        <v>115.51229950742</v>
      </c>
      <c r="N164" s="25" t="n">
        <f aca="false">K164*'Cover &amp; Assumptions'!$C$11+L164*'Cover &amp; Assumptions'!$C$12+M164*'Cover &amp; Assumptions'!$C$13</f>
        <v>76.1119835547453</v>
      </c>
    </row>
    <row r="165" customFormat="false" ht="15" hidden="false" customHeight="false" outlineLevel="0" collapsed="false">
      <c r="A165" s="17" t="str">
        <f aca="false">Portfolio!A165</f>
        <v>UKSME-104091</v>
      </c>
      <c r="B165" s="17" t="str">
        <f aca="false">Portfolio!B165</f>
        <v>Professional Services</v>
      </c>
      <c r="C165" s="21" t="n">
        <f aca="false">Portfolio!D165</f>
        <v>30282</v>
      </c>
      <c r="D165" s="22" t="n">
        <f aca="false">Portfolio!G165</f>
        <v>0.212995011202333</v>
      </c>
      <c r="E165" s="23" t="n">
        <f aca="false">Portfolio!E165</f>
        <v>0.512</v>
      </c>
      <c r="F165" s="17" t="n">
        <f aca="false">Portfolio!F165</f>
        <v>0</v>
      </c>
      <c r="G165" s="16" t="str">
        <f aca="false">IF(OR(F165&gt;='Cover &amp; Assumptions'!$C$22,Portfolio!I165=1),"Stage 3",IF(OR(F165&gt;=30,D165&gt;'Cover &amp; Assumptions'!$C$21),"Stage 2","Stage 1"))</f>
        <v>Stage 2</v>
      </c>
      <c r="H165" s="16" t="n">
        <f aca="false">IF(G165="Stage 1",12,MIN(Portfolio!H165,60))</f>
        <v>36</v>
      </c>
      <c r="I165" s="24" t="n">
        <f aca="false">1-(1-D165)^(H165/12)</f>
        <v>0.512547327221373</v>
      </c>
      <c r="J165" s="24" t="n">
        <f aca="false">IF(G165="Stage 1",D165,I165)</f>
        <v>0.512547327221373</v>
      </c>
      <c r="K165" s="25" t="n">
        <f aca="false">J165*'Cover &amp; Assumptions'!$D$11*E165*'Cover &amp; Assumptions'!$E$11*C165</f>
        <v>6416.98494287666</v>
      </c>
      <c r="L165" s="25" t="n">
        <f aca="false">J165*'Cover &amp; Assumptions'!$D$12*E165*'Cover &amp; Assumptions'!$E$12*C165</f>
        <v>7946.73057941382</v>
      </c>
      <c r="M165" s="25" t="n">
        <f aca="false">J165*'Cover &amp; Assumptions'!$D$13*E165*'Cover &amp; Assumptions'!$E$13*C165</f>
        <v>13827.31120818</v>
      </c>
      <c r="N165" s="25" t="n">
        <f aca="false">K165*'Cover &amp; Assumptions'!$C$11+L165*'Cover &amp; Assumptions'!$C$12+M165*'Cover &amp; Assumptions'!$C$13</f>
        <v>9110.92660929794</v>
      </c>
    </row>
    <row r="166" customFormat="false" ht="15" hidden="false" customHeight="false" outlineLevel="0" collapsed="false">
      <c r="A166" s="17" t="str">
        <f aca="false">Portfolio!A166</f>
        <v>UKSME-109773</v>
      </c>
      <c r="B166" s="17" t="str">
        <f aca="false">Portfolio!B166</f>
        <v>Professional Services</v>
      </c>
      <c r="C166" s="21" t="n">
        <f aca="false">Portfolio!D166</f>
        <v>28692</v>
      </c>
      <c r="D166" s="22" t="n">
        <f aca="false">Portfolio!G166</f>
        <v>0.133103127492172</v>
      </c>
      <c r="E166" s="23" t="n">
        <f aca="false">Portfolio!E166</f>
        <v>0.419</v>
      </c>
      <c r="F166" s="17" t="n">
        <f aca="false">Portfolio!F166</f>
        <v>0</v>
      </c>
      <c r="G166" s="16" t="str">
        <f aca="false">IF(OR(F166&gt;='Cover &amp; Assumptions'!$C$22,Portfolio!I166=1),"Stage 3",IF(OR(F166&gt;=30,D166&gt;'Cover &amp; Assumptions'!$C$21),"Stage 2","Stage 1"))</f>
        <v>Stage 1</v>
      </c>
      <c r="H166" s="16" t="n">
        <f aca="false">IF(G166="Stage 1",12,MIN(Portfolio!H166,60))</f>
        <v>12</v>
      </c>
      <c r="I166" s="24" t="n">
        <f aca="false">1-(1-D166)^(H166/12)</f>
        <v>0.133103127492172</v>
      </c>
      <c r="J166" s="24" t="n">
        <f aca="false">IF(G166="Stage 1",D166,I166)</f>
        <v>0.133103127492172</v>
      </c>
      <c r="K166" s="25" t="n">
        <f aca="false">J166*'Cover &amp; Assumptions'!$D$11*E166*'Cover &amp; Assumptions'!$E$11*C166</f>
        <v>1292.12829345872</v>
      </c>
      <c r="L166" s="25" t="n">
        <f aca="false">J166*'Cover &amp; Assumptions'!$D$12*E166*'Cover &amp; Assumptions'!$E$12*C166</f>
        <v>1600.15887734826</v>
      </c>
      <c r="M166" s="25" t="n">
        <f aca="false">J166*'Cover &amp; Assumptions'!$D$13*E166*'Cover &amp; Assumptions'!$E$13*C166</f>
        <v>2784.27644658598</v>
      </c>
      <c r="N166" s="25" t="n">
        <f aca="false">K166*'Cover &amp; Assumptions'!$C$11+L166*'Cover &amp; Assumptions'!$C$12+M166*'Cover &amp; Assumptions'!$C$13</f>
        <v>1834.58215287978</v>
      </c>
    </row>
    <row r="167" customFormat="false" ht="15" hidden="false" customHeight="false" outlineLevel="0" collapsed="false">
      <c r="A167" s="17" t="str">
        <f aca="false">Portfolio!A167</f>
        <v>UKSME-104782</v>
      </c>
      <c r="B167" s="17" t="str">
        <f aca="false">Portfolio!B167</f>
        <v>Real Estate</v>
      </c>
      <c r="C167" s="21" t="n">
        <f aca="false">Portfolio!D167</f>
        <v>43578</v>
      </c>
      <c r="D167" s="22" t="n">
        <f aca="false">Portfolio!G167</f>
        <v>0.186880456276487</v>
      </c>
      <c r="E167" s="23" t="n">
        <f aca="false">Portfolio!E167</f>
        <v>0.088</v>
      </c>
      <c r="F167" s="17" t="n">
        <f aca="false">Portfolio!F167</f>
        <v>0</v>
      </c>
      <c r="G167" s="16" t="str">
        <f aca="false">IF(OR(F167&gt;='Cover &amp; Assumptions'!$C$22,Portfolio!I167=1),"Stage 3",IF(OR(F167&gt;=30,D167&gt;'Cover &amp; Assumptions'!$C$21),"Stage 2","Stage 1"))</f>
        <v>Stage 2</v>
      </c>
      <c r="H167" s="16" t="n">
        <f aca="false">IF(G167="Stage 1",12,MIN(Portfolio!H167,60))</f>
        <v>60</v>
      </c>
      <c r="I167" s="24" t="n">
        <f aca="false">1-(1-D167)^(H167/12)</f>
        <v>0.64455533645881</v>
      </c>
      <c r="J167" s="24" t="n">
        <f aca="false">IF(G167="Stage 1",D167,I167)</f>
        <v>0.64455533645881</v>
      </c>
      <c r="K167" s="25" t="n">
        <f aca="false">J167*'Cover &amp; Assumptions'!$D$11*E167*'Cover &amp; Assumptions'!$E$11*C167</f>
        <v>1995.96401005347</v>
      </c>
      <c r="L167" s="25" t="n">
        <f aca="false">J167*'Cover &amp; Assumptions'!$D$12*E167*'Cover &amp; Assumptions'!$E$12*C167</f>
        <v>2471.78205579378</v>
      </c>
      <c r="M167" s="25" t="n">
        <f aca="false">J167*'Cover &amp; Assumptions'!$D$13*E167*'Cover &amp; Assumptions'!$E$13*C167</f>
        <v>4300.90077708117</v>
      </c>
      <c r="N167" s="25" t="n">
        <f aca="false">K167*'Cover &amp; Assumptions'!$C$11+L167*'Cover &amp; Assumptions'!$C$12+M167*'Cover &amp; Assumptions'!$C$13</f>
        <v>2833.89812696757</v>
      </c>
    </row>
    <row r="168" customFormat="false" ht="15" hidden="false" customHeight="false" outlineLevel="0" collapsed="false">
      <c r="A168" s="17" t="str">
        <f aca="false">Portfolio!A168</f>
        <v>UKSME-107133</v>
      </c>
      <c r="B168" s="17" t="str">
        <f aca="false">Portfolio!B168</f>
        <v>Technology</v>
      </c>
      <c r="C168" s="21" t="n">
        <f aca="false">Portfolio!D168</f>
        <v>30157</v>
      </c>
      <c r="D168" s="22" t="n">
        <f aca="false">Portfolio!G168</f>
        <v>0.211671457804487</v>
      </c>
      <c r="E168" s="23" t="n">
        <f aca="false">Portfolio!E168</f>
        <v>0.396</v>
      </c>
      <c r="F168" s="17" t="n">
        <f aca="false">Portfolio!F168</f>
        <v>0</v>
      </c>
      <c r="G168" s="16" t="str">
        <f aca="false">IF(OR(F168&gt;='Cover &amp; Assumptions'!$C$22,Portfolio!I168=1),"Stage 3",IF(OR(F168&gt;=30,D168&gt;'Cover &amp; Assumptions'!$C$21),"Stage 2","Stage 1"))</f>
        <v>Stage 2</v>
      </c>
      <c r="H168" s="16" t="n">
        <f aca="false">IF(G168="Stage 1",12,MIN(Portfolio!H168,60))</f>
        <v>48</v>
      </c>
      <c r="I168" s="24" t="n">
        <f aca="false">1-(1-D168)^(H168/12)</f>
        <v>0.613785118730615</v>
      </c>
      <c r="J168" s="24" t="n">
        <f aca="false">IF(G168="Stage 1",D168,I168)</f>
        <v>0.613785118730615</v>
      </c>
      <c r="K168" s="25" t="n">
        <f aca="false">J168*'Cover &amp; Assumptions'!$D$11*E168*'Cover &amp; Assumptions'!$E$11*C168</f>
        <v>5918.91642307905</v>
      </c>
      <c r="L168" s="25" t="n">
        <f aca="false">J168*'Cover &amp; Assumptions'!$D$12*E168*'Cover &amp; Assumptions'!$E$12*C168</f>
        <v>7329.92745892142</v>
      </c>
      <c r="M168" s="25" t="n">
        <f aca="false">J168*'Cover &amp; Assumptions'!$D$13*E168*'Cover &amp; Assumptions'!$E$13*C168</f>
        <v>12754.0737785233</v>
      </c>
      <c r="N168" s="25" t="n">
        <f aca="false">K168*'Cover &amp; Assumptions'!$C$11+L168*'Cover &amp; Assumptions'!$C$12+M168*'Cover &amp; Assumptions'!$C$13</f>
        <v>8403.76183165341</v>
      </c>
    </row>
    <row r="169" customFormat="false" ht="15" hidden="false" customHeight="false" outlineLevel="0" collapsed="false">
      <c r="A169" s="17" t="str">
        <f aca="false">Portfolio!A169</f>
        <v>UKSME-106593</v>
      </c>
      <c r="B169" s="17" t="str">
        <f aca="false">Portfolio!B169</f>
        <v>Healthcare</v>
      </c>
      <c r="C169" s="21" t="n">
        <f aca="false">Portfolio!D169</f>
        <v>121215</v>
      </c>
      <c r="D169" s="22" t="n">
        <f aca="false">Portfolio!G169</f>
        <v>0.205738724304943</v>
      </c>
      <c r="E169" s="23" t="n">
        <f aca="false">Portfolio!E169</f>
        <v>0.737</v>
      </c>
      <c r="F169" s="17" t="n">
        <f aca="false">Portfolio!F169</f>
        <v>0</v>
      </c>
      <c r="G169" s="16" t="str">
        <f aca="false">IF(OR(F169&gt;='Cover &amp; Assumptions'!$C$22,Portfolio!I169=1),"Stage 3",IF(OR(F169&gt;=30,D169&gt;'Cover &amp; Assumptions'!$C$21),"Stage 2","Stage 1"))</f>
        <v>Stage 2</v>
      </c>
      <c r="H169" s="16" t="n">
        <f aca="false">IF(G169="Stage 1",12,MIN(Portfolio!H169,60))</f>
        <v>36</v>
      </c>
      <c r="I169" s="24" t="n">
        <f aca="false">1-(1-D169)^(H169/12)</f>
        <v>0.498939500562694</v>
      </c>
      <c r="J169" s="24" t="n">
        <f aca="false">IF(G169="Stage 1",D169,I169)</f>
        <v>0.498939500562694</v>
      </c>
      <c r="K169" s="25" t="n">
        <f aca="false">J169*'Cover &amp; Assumptions'!$D$11*E169*'Cover &amp; Assumptions'!$E$11*C169</f>
        <v>35992.6872449446</v>
      </c>
      <c r="L169" s="25" t="n">
        <f aca="false">J169*'Cover &amp; Assumptions'!$D$12*E169*'Cover &amp; Assumptions'!$E$12*C169</f>
        <v>44572.987300241</v>
      </c>
      <c r="M169" s="25" t="n">
        <f aca="false">J169*'Cover &amp; Assumptions'!$D$13*E169*'Cover &amp; Assumptions'!$E$13*C169</f>
        <v>77556.9979024193</v>
      </c>
      <c r="N169" s="25" t="n">
        <f aca="false">K169*'Cover &amp; Assumptions'!$C$11+L169*'Cover &amp; Assumptions'!$C$12+M169*'Cover &amp; Assumptions'!$C$13</f>
        <v>51102.9299397263</v>
      </c>
    </row>
    <row r="170" customFormat="false" ht="15" hidden="false" customHeight="false" outlineLevel="0" collapsed="false">
      <c r="A170" s="17" t="str">
        <f aca="false">Portfolio!A170</f>
        <v>UKSME-103944</v>
      </c>
      <c r="B170" s="17" t="str">
        <f aca="false">Portfolio!B170</f>
        <v>Real Estate</v>
      </c>
      <c r="C170" s="21" t="n">
        <f aca="false">Portfolio!D170</f>
        <v>37527</v>
      </c>
      <c r="D170" s="22" t="n">
        <f aca="false">Portfolio!G170</f>
        <v>0.075949775420243</v>
      </c>
      <c r="E170" s="23" t="n">
        <f aca="false">Portfolio!E170</f>
        <v>0.698</v>
      </c>
      <c r="F170" s="17" t="n">
        <f aca="false">Portfolio!F170</f>
        <v>0</v>
      </c>
      <c r="G170" s="16" t="str">
        <f aca="false">IF(OR(F170&gt;='Cover &amp; Assumptions'!$C$22,Portfolio!I170=1),"Stage 3",IF(OR(F170&gt;=30,D170&gt;'Cover &amp; Assumptions'!$C$21),"Stage 2","Stage 1"))</f>
        <v>Stage 1</v>
      </c>
      <c r="H170" s="16" t="n">
        <f aca="false">IF(G170="Stage 1",12,MIN(Portfolio!H170,60))</f>
        <v>12</v>
      </c>
      <c r="I170" s="24" t="n">
        <f aca="false">1-(1-D170)^(H170/12)</f>
        <v>0.075949775420243</v>
      </c>
      <c r="J170" s="24" t="n">
        <f aca="false">IF(G170="Stage 1",D170,I170)</f>
        <v>0.075949775420243</v>
      </c>
      <c r="K170" s="25" t="n">
        <f aca="false">J170*'Cover &amp; Assumptions'!$D$11*E170*'Cover &amp; Assumptions'!$E$11*C170</f>
        <v>1606.45400228214</v>
      </c>
      <c r="L170" s="25" t="n">
        <f aca="false">J170*'Cover &amp; Assumptions'!$D$12*E170*'Cover &amp; Assumptions'!$E$12*C170</f>
        <v>1989.41672109243</v>
      </c>
      <c r="M170" s="25" t="n">
        <f aca="false">J170*'Cover &amp; Assumptions'!$D$13*E170*'Cover &amp; Assumptions'!$E$13*C170</f>
        <v>3461.58509470083</v>
      </c>
      <c r="N170" s="25" t="n">
        <f aca="false">K170*'Cover &amp; Assumptions'!$C$11+L170*'Cover &amp; Assumptions'!$C$12+M170*'Cover &amp; Assumptions'!$C$13</f>
        <v>2280.86627073247</v>
      </c>
    </row>
    <row r="171" customFormat="false" ht="15" hidden="false" customHeight="false" outlineLevel="0" collapsed="false">
      <c r="A171" s="17" t="str">
        <f aca="false">Portfolio!A171</f>
        <v>UKSME-100345</v>
      </c>
      <c r="B171" s="17" t="str">
        <f aca="false">Portfolio!B171</f>
        <v>Construction</v>
      </c>
      <c r="C171" s="21" t="n">
        <f aca="false">Portfolio!D171</f>
        <v>630759</v>
      </c>
      <c r="D171" s="22" t="n">
        <f aca="false">Portfolio!G171</f>
        <v>0.263436472490849</v>
      </c>
      <c r="E171" s="23" t="n">
        <f aca="false">Portfolio!E171</f>
        <v>0.291</v>
      </c>
      <c r="F171" s="17" t="n">
        <f aca="false">Portfolio!F171</f>
        <v>0</v>
      </c>
      <c r="G171" s="16" t="str">
        <f aca="false">IF(OR(F171&gt;='Cover &amp; Assumptions'!$C$22,Portfolio!I171=1),"Stage 3",IF(OR(F171&gt;=30,D171&gt;'Cover &amp; Assumptions'!$C$21),"Stage 2","Stage 1"))</f>
        <v>Stage 2</v>
      </c>
      <c r="H171" s="16" t="n">
        <f aca="false">IF(G171="Stage 1",12,MIN(Portfolio!H171,60))</f>
        <v>48</v>
      </c>
      <c r="I171" s="24" t="n">
        <f aca="false">1-(1-D171)^(H171/12)</f>
        <v>0.705665723721262</v>
      </c>
      <c r="J171" s="24" t="n">
        <f aca="false">IF(G171="Stage 1",D171,I171)</f>
        <v>0.705665723721262</v>
      </c>
      <c r="K171" s="25" t="n">
        <f aca="false">J171*'Cover &amp; Assumptions'!$D$11*E171*'Cover &amp; Assumptions'!$E$11*C171</f>
        <v>104591.887126135</v>
      </c>
      <c r="L171" s="25" t="n">
        <f aca="false">J171*'Cover &amp; Assumptions'!$D$12*E171*'Cover &amp; Assumptions'!$E$12*C171</f>
        <v>129525.556812552</v>
      </c>
      <c r="M171" s="25" t="n">
        <f aca="false">J171*'Cover &amp; Assumptions'!$D$13*E171*'Cover &amp; Assumptions'!$E$13*C171</f>
        <v>225374.46885384</v>
      </c>
      <c r="N171" s="25" t="n">
        <f aca="false">K171*'Cover &amp; Assumptions'!$C$11+L171*'Cover &amp; Assumptions'!$C$12+M171*'Cover &amp; Assumptions'!$C$13</f>
        <v>148501.05088559</v>
      </c>
    </row>
    <row r="172" customFormat="false" ht="15" hidden="false" customHeight="false" outlineLevel="0" collapsed="false">
      <c r="A172" s="17" t="str">
        <f aca="false">Portfolio!A172</f>
        <v>UKSME-105811</v>
      </c>
      <c r="B172" s="17" t="str">
        <f aca="false">Portfolio!B172</f>
        <v>Retail</v>
      </c>
      <c r="C172" s="21" t="n">
        <f aca="false">Portfolio!D172</f>
        <v>17155</v>
      </c>
      <c r="D172" s="22" t="n">
        <f aca="false">Portfolio!G172</f>
        <v>0.10652282377185</v>
      </c>
      <c r="E172" s="23" t="n">
        <f aca="false">Portfolio!E172</f>
        <v>0.343</v>
      </c>
      <c r="F172" s="17" t="n">
        <f aca="false">Portfolio!F172</f>
        <v>0</v>
      </c>
      <c r="G172" s="16" t="str">
        <f aca="false">IF(OR(F172&gt;='Cover &amp; Assumptions'!$C$22,Portfolio!I172=1),"Stage 3",IF(OR(F172&gt;=30,D172&gt;'Cover &amp; Assumptions'!$C$21),"Stage 2","Stage 1"))</f>
        <v>Stage 1</v>
      </c>
      <c r="H172" s="16" t="n">
        <f aca="false">IF(G172="Stage 1",12,MIN(Portfolio!H172,60))</f>
        <v>12</v>
      </c>
      <c r="I172" s="24" t="n">
        <f aca="false">1-(1-D172)^(H172/12)</f>
        <v>0.10652282377185</v>
      </c>
      <c r="J172" s="24" t="n">
        <f aca="false">IF(G172="Stage 1",D172,I172)</f>
        <v>0.10652282377185</v>
      </c>
      <c r="K172" s="25" t="n">
        <f aca="false">J172*'Cover &amp; Assumptions'!$D$11*E172*'Cover &amp; Assumptions'!$E$11*C172</f>
        <v>506.139281106634</v>
      </c>
      <c r="L172" s="25" t="n">
        <f aca="false">J172*'Cover &amp; Assumptions'!$D$12*E172*'Cover &amp; Assumptions'!$E$12*C172</f>
        <v>626.797871339485</v>
      </c>
      <c r="M172" s="25" t="n">
        <f aca="false">J172*'Cover &amp; Assumptions'!$D$13*E172*'Cover &amp; Assumptions'!$E$13*C172</f>
        <v>1090.6282961307</v>
      </c>
      <c r="N172" s="25" t="n">
        <f aca="false">K172*'Cover &amp; Assumptions'!$C$11+L172*'Cover &amp; Assumptions'!$C$12+M172*'Cover &amp; Assumptions'!$C$13</f>
        <v>718.62375949072</v>
      </c>
    </row>
    <row r="173" customFormat="false" ht="15" hidden="false" customHeight="false" outlineLevel="0" collapsed="false">
      <c r="A173" s="17" t="str">
        <f aca="false">Portfolio!A173</f>
        <v>UKSME-103682</v>
      </c>
      <c r="B173" s="17" t="str">
        <f aca="false">Portfolio!B173</f>
        <v>Professional Services</v>
      </c>
      <c r="C173" s="21" t="n">
        <f aca="false">Portfolio!D173</f>
        <v>40453</v>
      </c>
      <c r="D173" s="22" t="n">
        <f aca="false">Portfolio!G173</f>
        <v>0.157695951358683</v>
      </c>
      <c r="E173" s="23" t="n">
        <f aca="false">Portfolio!E173</f>
        <v>0.594</v>
      </c>
      <c r="F173" s="17" t="n">
        <f aca="false">Portfolio!F173</f>
        <v>0</v>
      </c>
      <c r="G173" s="16" t="str">
        <f aca="false">IF(OR(F173&gt;='Cover &amp; Assumptions'!$C$22,Portfolio!I173=1),"Stage 3",IF(OR(F173&gt;=30,D173&gt;'Cover &amp; Assumptions'!$C$21),"Stage 2","Stage 1"))</f>
        <v>Stage 2</v>
      </c>
      <c r="H173" s="16" t="n">
        <f aca="false">IF(G173="Stage 1",12,MIN(Portfolio!H173,60))</f>
        <v>48</v>
      </c>
      <c r="I173" s="24" t="n">
        <f aca="false">1-(1-D173)^(H173/12)</f>
        <v>0.496643648831915</v>
      </c>
      <c r="J173" s="24" t="n">
        <f aca="false">IF(G173="Stage 1",D173,I173)</f>
        <v>0.496643648831915</v>
      </c>
      <c r="K173" s="25" t="n">
        <f aca="false">J173*'Cover &amp; Assumptions'!$D$11*E173*'Cover &amp; Assumptions'!$E$11*C173</f>
        <v>9636.61695226825</v>
      </c>
      <c r="L173" s="25" t="n">
        <f aca="false">J173*'Cover &amp; Assumptions'!$D$12*E173*'Cover &amp; Assumptions'!$E$12*C173</f>
        <v>11933.8909625613</v>
      </c>
      <c r="M173" s="25" t="n">
        <f aca="false">J173*'Cover &amp; Assumptions'!$D$13*E173*'Cover &amp; Assumptions'!$E$13*C173</f>
        <v>20764.9702748567</v>
      </c>
      <c r="N173" s="25" t="n">
        <f aca="false">K173*'Cover &amp; Assumptions'!$C$11+L173*'Cover &amp; Assumptions'!$C$12+M173*'Cover &amp; Assumptions'!$C$13</f>
        <v>13682.2059885765</v>
      </c>
    </row>
    <row r="174" customFormat="false" ht="15" hidden="false" customHeight="false" outlineLevel="0" collapsed="false">
      <c r="A174" s="17" t="str">
        <f aca="false">Portfolio!A174</f>
        <v>UKSME-106738</v>
      </c>
      <c r="B174" s="17" t="str">
        <f aca="false">Portfolio!B174</f>
        <v>Hospitality</v>
      </c>
      <c r="C174" s="21" t="n">
        <f aca="false">Portfolio!D174</f>
        <v>310548</v>
      </c>
      <c r="D174" s="22" t="n">
        <f aca="false">Portfolio!G174</f>
        <v>0.02754402294271</v>
      </c>
      <c r="E174" s="23" t="n">
        <f aca="false">Portfolio!E174</f>
        <v>0.805</v>
      </c>
      <c r="F174" s="17" t="n">
        <f aca="false">Portfolio!F174</f>
        <v>0</v>
      </c>
      <c r="G174" s="16" t="str">
        <f aca="false">IF(OR(F174&gt;='Cover &amp; Assumptions'!$C$22,Portfolio!I174=1),"Stage 3",IF(OR(F174&gt;=30,D174&gt;'Cover &amp; Assumptions'!$C$21),"Stage 2","Stage 1"))</f>
        <v>Stage 1</v>
      </c>
      <c r="H174" s="16" t="n">
        <f aca="false">IF(G174="Stage 1",12,MIN(Portfolio!H174,60))</f>
        <v>12</v>
      </c>
      <c r="I174" s="24" t="n">
        <f aca="false">1-(1-D174)^(H174/12)</f>
        <v>0.02754402294271</v>
      </c>
      <c r="J174" s="24" t="n">
        <f aca="false">IF(G174="Stage 1",D174,I174)</f>
        <v>0.02754402294271</v>
      </c>
      <c r="K174" s="25" t="n">
        <f aca="false">J174*'Cover &amp; Assumptions'!$D$11*E174*'Cover &amp; Assumptions'!$E$11*C174</f>
        <v>5560.25256922464</v>
      </c>
      <c r="L174" s="25" t="n">
        <f aca="false">J174*'Cover &amp; Assumptions'!$D$12*E174*'Cover &amp; Assumptions'!$E$12*C174</f>
        <v>6885.76169563423</v>
      </c>
      <c r="M174" s="25" t="n">
        <f aca="false">J174*'Cover &amp; Assumptions'!$D$13*E174*'Cover &amp; Assumptions'!$E$13*C174</f>
        <v>11981.2253504036</v>
      </c>
      <c r="N174" s="25" t="n">
        <f aca="false">K174*'Cover &amp; Assumptions'!$C$11+L174*'Cover &amp; Assumptions'!$C$12+M174*'Cover &amp; Assumptions'!$C$13</f>
        <v>7894.52578404464</v>
      </c>
    </row>
    <row r="175" customFormat="false" ht="15" hidden="false" customHeight="false" outlineLevel="0" collapsed="false">
      <c r="A175" s="17" t="str">
        <f aca="false">Portfolio!A175</f>
        <v>UKSME-108931</v>
      </c>
      <c r="B175" s="17" t="str">
        <f aca="false">Portfolio!B175</f>
        <v>Wholesale</v>
      </c>
      <c r="C175" s="21" t="n">
        <f aca="false">Portfolio!D175</f>
        <v>44327</v>
      </c>
      <c r="D175" s="22" t="n">
        <f aca="false">Portfolio!G175</f>
        <v>0.408151378343586</v>
      </c>
      <c r="E175" s="23" t="n">
        <f aca="false">Portfolio!E175</f>
        <v>0.412</v>
      </c>
      <c r="F175" s="17" t="n">
        <f aca="false">Portfolio!F175</f>
        <v>0</v>
      </c>
      <c r="G175" s="16" t="str">
        <f aca="false">IF(OR(F175&gt;='Cover &amp; Assumptions'!$C$22,Portfolio!I175=1),"Stage 3",IF(OR(F175&gt;=30,D175&gt;'Cover &amp; Assumptions'!$C$21),"Stage 2","Stage 1"))</f>
        <v>Stage 3</v>
      </c>
      <c r="H175" s="16" t="n">
        <f aca="false">IF(G175="Stage 1",12,MIN(Portfolio!H175,60))</f>
        <v>48</v>
      </c>
      <c r="I175" s="24" t="n">
        <f aca="false">1-(1-D175)^(H175/12)</f>
        <v>0.877300565224493</v>
      </c>
      <c r="J175" s="24" t="n">
        <f aca="false">IF(G175="Stage 1",D175,I175)</f>
        <v>0.877300565224493</v>
      </c>
      <c r="K175" s="25" t="n">
        <f aca="false">J175*'Cover &amp; Assumptions'!$D$11*E175*'Cover &amp; Assumptions'!$E$11*C175</f>
        <v>12937.6827058492</v>
      </c>
      <c r="L175" s="25" t="n">
        <f aca="false">J175*'Cover &amp; Assumptions'!$D$12*E175*'Cover &amp; Assumptions'!$E$12*C175</f>
        <v>16021.8980877389</v>
      </c>
      <c r="M175" s="25" t="n">
        <f aca="false">J175*'Cover &amp; Assumptions'!$D$13*E175*'Cover &amp; Assumptions'!$E$13*C175</f>
        <v>27878.1026726657</v>
      </c>
      <c r="N175" s="25" t="n">
        <f aca="false">K175*'Cover &amp; Assumptions'!$C$11+L175*'Cover &amp; Assumptions'!$C$12+M175*'Cover &amp; Assumptions'!$C$13</f>
        <v>18369.1061575927</v>
      </c>
    </row>
    <row r="176" customFormat="false" ht="15" hidden="false" customHeight="false" outlineLevel="0" collapsed="false">
      <c r="A176" s="17" t="str">
        <f aca="false">Portfolio!A176</f>
        <v>UKSME-103062</v>
      </c>
      <c r="B176" s="17" t="str">
        <f aca="false">Portfolio!B176</f>
        <v>Retail</v>
      </c>
      <c r="C176" s="21" t="n">
        <f aca="false">Portfolio!D176</f>
        <v>80660</v>
      </c>
      <c r="D176" s="22" t="n">
        <f aca="false">Portfolio!G176</f>
        <v>0.354284356931666</v>
      </c>
      <c r="E176" s="23" t="n">
        <f aca="false">Portfolio!E176</f>
        <v>0.818</v>
      </c>
      <c r="F176" s="17" t="n">
        <f aca="false">Portfolio!F176</f>
        <v>0</v>
      </c>
      <c r="G176" s="16" t="str">
        <f aca="false">IF(OR(F176&gt;='Cover &amp; Assumptions'!$C$22,Portfolio!I176=1),"Stage 3",IF(OR(F176&gt;=30,D176&gt;'Cover &amp; Assumptions'!$C$21),"Stage 2","Stage 1"))</f>
        <v>Stage 3</v>
      </c>
      <c r="H176" s="16" t="n">
        <f aca="false">IF(G176="Stage 1",12,MIN(Portfolio!H176,60))</f>
        <v>60</v>
      </c>
      <c r="I176" s="24" t="n">
        <f aca="false">1-(1-D176)^(H176/12)</f>
        <v>0.887744781737909</v>
      </c>
      <c r="J176" s="24" t="n">
        <f aca="false">IF(G176="Stage 1",D176,I176)</f>
        <v>0.887744781737909</v>
      </c>
      <c r="K176" s="25" t="n">
        <f aca="false">J176*'Cover &amp; Assumptions'!$D$11*E176*'Cover &amp; Assumptions'!$E$11*C176</f>
        <v>47297.9350420274</v>
      </c>
      <c r="L176" s="25" t="n">
        <f aca="false">J176*'Cover &amp; Assumptions'!$D$12*E176*'Cover &amp; Assumptions'!$E$12*C176</f>
        <v>58573.2941696934</v>
      </c>
      <c r="M176" s="25" t="n">
        <f aca="false">J176*'Cover &amp; Assumptions'!$D$13*E176*'Cover &amp; Assumptions'!$E$13*C176</f>
        <v>101917.531855267</v>
      </c>
      <c r="N176" s="25" t="n">
        <f aca="false">K176*'Cover &amp; Assumptions'!$C$11+L176*'Cover &amp; Assumptions'!$C$12+M176*'Cover &amp; Assumptions'!$C$13</f>
        <v>67154.2817655535</v>
      </c>
    </row>
    <row r="177" customFormat="false" ht="15" hidden="false" customHeight="false" outlineLevel="0" collapsed="false">
      <c r="A177" s="17" t="str">
        <f aca="false">Portfolio!A177</f>
        <v>UKSME-102315</v>
      </c>
      <c r="B177" s="17" t="str">
        <f aca="false">Portfolio!B177</f>
        <v>Manufacturing</v>
      </c>
      <c r="C177" s="21" t="n">
        <f aca="false">Portfolio!D177</f>
        <v>98838</v>
      </c>
      <c r="D177" s="22" t="n">
        <f aca="false">Portfolio!G177</f>
        <v>0.167016562709219</v>
      </c>
      <c r="E177" s="23" t="n">
        <f aca="false">Portfolio!E177</f>
        <v>0.312</v>
      </c>
      <c r="F177" s="17" t="n">
        <f aca="false">Portfolio!F177</f>
        <v>0</v>
      </c>
      <c r="G177" s="16" t="str">
        <f aca="false">IF(OR(F177&gt;='Cover &amp; Assumptions'!$C$22,Portfolio!I177=1),"Stage 3",IF(OR(F177&gt;=30,D177&gt;'Cover &amp; Assumptions'!$C$21),"Stage 2","Stage 1"))</f>
        <v>Stage 2</v>
      </c>
      <c r="H177" s="16" t="n">
        <f aca="false">IF(G177="Stage 1",12,MIN(Portfolio!H177,60))</f>
        <v>60</v>
      </c>
      <c r="I177" s="24" t="n">
        <f aca="false">1-(1-D177)^(H177/12)</f>
        <v>0.598965412022213</v>
      </c>
      <c r="J177" s="24" t="n">
        <f aca="false">IF(G177="Stage 1",D177,I177)</f>
        <v>0.598965412022213</v>
      </c>
      <c r="K177" s="25" t="n">
        <f aca="false">J177*'Cover &amp; Assumptions'!$D$11*E177*'Cover &amp; Assumptions'!$E$11*C177</f>
        <v>14914.9849025462</v>
      </c>
      <c r="L177" s="25" t="n">
        <f aca="false">J177*'Cover &amp; Assumptions'!$D$12*E177*'Cover &amp; Assumptions'!$E$12*C177</f>
        <v>18470.5695387569</v>
      </c>
      <c r="M177" s="25" t="n">
        <f aca="false">J177*'Cover &amp; Assumptions'!$D$13*E177*'Cover &amp; Assumptions'!$E$13*C177</f>
        <v>32138.7909974369</v>
      </c>
      <c r="N177" s="25" t="n">
        <f aca="false">K177*'Cover &amp; Assumptions'!$C$11+L177*'Cover &amp; Assumptions'!$C$12+M177*'Cover &amp; Assumptions'!$C$13</f>
        <v>21176.5079761847</v>
      </c>
    </row>
    <row r="178" customFormat="false" ht="15" hidden="false" customHeight="false" outlineLevel="0" collapsed="false">
      <c r="A178" s="17" t="str">
        <f aca="false">Portfolio!A178</f>
        <v>UKSME-105608</v>
      </c>
      <c r="B178" s="17" t="str">
        <f aca="false">Portfolio!B178</f>
        <v>Retail</v>
      </c>
      <c r="C178" s="21" t="n">
        <f aca="false">Portfolio!D178</f>
        <v>205310</v>
      </c>
      <c r="D178" s="22" t="n">
        <f aca="false">Portfolio!G178</f>
        <v>0.137495157859239</v>
      </c>
      <c r="E178" s="23" t="n">
        <f aca="false">Portfolio!E178</f>
        <v>0.757</v>
      </c>
      <c r="F178" s="17" t="n">
        <f aca="false">Portfolio!F178</f>
        <v>0</v>
      </c>
      <c r="G178" s="16" t="str">
        <f aca="false">IF(OR(F178&gt;='Cover &amp; Assumptions'!$C$22,Portfolio!I178=1),"Stage 3",IF(OR(F178&gt;=30,D178&gt;'Cover &amp; Assumptions'!$C$21),"Stage 2","Stage 1"))</f>
        <v>Stage 1</v>
      </c>
      <c r="H178" s="16" t="n">
        <f aca="false">IF(G178="Stage 1",12,MIN(Portfolio!H178,60))</f>
        <v>12</v>
      </c>
      <c r="I178" s="24" t="n">
        <f aca="false">1-(1-D178)^(H178/12)</f>
        <v>0.137495157859239</v>
      </c>
      <c r="J178" s="24" t="n">
        <f aca="false">IF(G178="Stage 1",D178,I178)</f>
        <v>0.137495157859239</v>
      </c>
      <c r="K178" s="25" t="n">
        <f aca="false">J178*'Cover &amp; Assumptions'!$D$11*E178*'Cover &amp; Assumptions'!$E$11*C178</f>
        <v>17255.8325393228</v>
      </c>
      <c r="L178" s="25" t="n">
        <f aca="false">J178*'Cover &amp; Assumptions'!$D$12*E178*'Cover &amp; Assumptions'!$E$12*C178</f>
        <v>21369.4520610808</v>
      </c>
      <c r="M178" s="25" t="n">
        <f aca="false">J178*'Cover &amp; Assumptions'!$D$13*E178*'Cover &amp; Assumptions'!$E$13*C178</f>
        <v>37182.8465862806</v>
      </c>
      <c r="N178" s="25" t="n">
        <f aca="false">K178*'Cover &amp; Assumptions'!$C$11+L178*'Cover &amp; Assumptions'!$C$12+M178*'Cover &amp; Assumptions'!$C$13</f>
        <v>24500.0767880292</v>
      </c>
    </row>
    <row r="179" customFormat="false" ht="15" hidden="false" customHeight="false" outlineLevel="0" collapsed="false">
      <c r="A179" s="17" t="str">
        <f aca="false">Portfolio!A179</f>
        <v>UKSME-100571</v>
      </c>
      <c r="B179" s="17" t="str">
        <f aca="false">Portfolio!B179</f>
        <v>Manufacturing</v>
      </c>
      <c r="C179" s="21" t="n">
        <f aca="false">Portfolio!D179</f>
        <v>47160</v>
      </c>
      <c r="D179" s="22" t="n">
        <f aca="false">Portfolio!G179</f>
        <v>0.162438418027395</v>
      </c>
      <c r="E179" s="23" t="n">
        <f aca="false">Portfolio!E179</f>
        <v>0.252</v>
      </c>
      <c r="F179" s="17" t="n">
        <f aca="false">Portfolio!F179</f>
        <v>0</v>
      </c>
      <c r="G179" s="16" t="str">
        <f aca="false">IF(OR(F179&gt;='Cover &amp; Assumptions'!$C$22,Portfolio!I179=1),"Stage 3",IF(OR(F179&gt;=30,D179&gt;'Cover &amp; Assumptions'!$C$21),"Stage 2","Stage 1"))</f>
        <v>Stage 3</v>
      </c>
      <c r="H179" s="16" t="n">
        <f aca="false">IF(G179="Stage 1",12,MIN(Portfolio!H179,60))</f>
        <v>60</v>
      </c>
      <c r="I179" s="24" t="n">
        <f aca="false">1-(1-D179)^(H179/12)</f>
        <v>0.587823010767815</v>
      </c>
      <c r="J179" s="24" t="n">
        <f aca="false">IF(G179="Stage 1",D179,I179)</f>
        <v>0.587823010767815</v>
      </c>
      <c r="K179" s="25" t="n">
        <f aca="false">J179*'Cover &amp; Assumptions'!$D$11*E179*'Cover &amp; Assumptions'!$E$11*C179</f>
        <v>5641.09548638749</v>
      </c>
      <c r="L179" s="25" t="n">
        <f aca="false">J179*'Cover &amp; Assumptions'!$D$12*E179*'Cover &amp; Assumptions'!$E$12*C179</f>
        <v>6985.87676332816</v>
      </c>
      <c r="M179" s="25" t="n">
        <f aca="false">J179*'Cover &amp; Assumptions'!$D$13*E179*'Cover &amp; Assumptions'!$E$13*C179</f>
        <v>12155.425568191</v>
      </c>
      <c r="N179" s="25" t="n">
        <f aca="false">K179*'Cover &amp; Assumptions'!$C$11+L179*'Cover &amp; Assumptions'!$C$12+M179*'Cover &amp; Assumptions'!$C$13</f>
        <v>8009.30770915574</v>
      </c>
    </row>
    <row r="180" customFormat="false" ht="15" hidden="false" customHeight="false" outlineLevel="0" collapsed="false">
      <c r="A180" s="17" t="str">
        <f aca="false">Portfolio!A180</f>
        <v>UKSME-106889</v>
      </c>
      <c r="B180" s="17" t="str">
        <f aca="false">Portfolio!B180</f>
        <v>Retail</v>
      </c>
      <c r="C180" s="21" t="n">
        <f aca="false">Portfolio!D180</f>
        <v>34139</v>
      </c>
      <c r="D180" s="22" t="n">
        <f aca="false">Portfolio!G180</f>
        <v>0.172733416317961</v>
      </c>
      <c r="E180" s="23" t="n">
        <f aca="false">Portfolio!E180</f>
        <v>0.307</v>
      </c>
      <c r="F180" s="17" t="n">
        <f aca="false">Portfolio!F180</f>
        <v>0</v>
      </c>
      <c r="G180" s="16" t="str">
        <f aca="false">IF(OR(F180&gt;='Cover &amp; Assumptions'!$C$22,Portfolio!I180=1),"Stage 3",IF(OR(F180&gt;=30,D180&gt;'Cover &amp; Assumptions'!$C$21),"Stage 2","Stage 1"))</f>
        <v>Stage 2</v>
      </c>
      <c r="H180" s="16" t="n">
        <f aca="false">IF(G180="Stage 1",12,MIN(Portfolio!H180,60))</f>
        <v>60</v>
      </c>
      <c r="I180" s="24" t="n">
        <f aca="false">1-(1-D180)^(H180/12)</f>
        <v>0.612539522178006</v>
      </c>
      <c r="J180" s="24" t="n">
        <f aca="false">IF(G180="Stage 1",D180,I180)</f>
        <v>0.612539522178006</v>
      </c>
      <c r="K180" s="25" t="n">
        <f aca="false">J180*'Cover &amp; Assumptions'!$D$11*E180*'Cover &amp; Assumptions'!$E$11*C180</f>
        <v>5184.00984345557</v>
      </c>
      <c r="L180" s="25" t="n">
        <f aca="false">J180*'Cover &amp; Assumptions'!$D$12*E180*'Cover &amp; Assumptions'!$E$12*C180</f>
        <v>6419.82643152392</v>
      </c>
      <c r="M180" s="25" t="n">
        <f aca="false">J180*'Cover &amp; Assumptions'!$D$13*E180*'Cover &amp; Assumptions'!$E$13*C180</f>
        <v>11170.4979908516</v>
      </c>
      <c r="N180" s="25" t="n">
        <f aca="false">K180*'Cover &amp; Assumptions'!$C$11+L180*'Cover &amp; Assumptions'!$C$12+M180*'Cover &amp; Assumptions'!$C$13</f>
        <v>7360.33100374218</v>
      </c>
    </row>
    <row r="181" customFormat="false" ht="15" hidden="false" customHeight="false" outlineLevel="0" collapsed="false">
      <c r="A181" s="17" t="str">
        <f aca="false">Portfolio!A181</f>
        <v>UKSME-101875</v>
      </c>
      <c r="B181" s="17" t="str">
        <f aca="false">Portfolio!B181</f>
        <v>Construction</v>
      </c>
      <c r="C181" s="21" t="n">
        <f aca="false">Portfolio!D181</f>
        <v>168981</v>
      </c>
      <c r="D181" s="22" t="n">
        <f aca="false">Portfolio!G181</f>
        <v>0.209520318565001</v>
      </c>
      <c r="E181" s="23" t="n">
        <f aca="false">Portfolio!E181</f>
        <v>0.095</v>
      </c>
      <c r="F181" s="17" t="n">
        <f aca="false">Portfolio!F181</f>
        <v>0</v>
      </c>
      <c r="G181" s="16" t="str">
        <f aca="false">IF(OR(F181&gt;='Cover &amp; Assumptions'!$C$22,Portfolio!I181=1),"Stage 3",IF(OR(F181&gt;=30,D181&gt;'Cover &amp; Assumptions'!$C$21),"Stage 2","Stage 1"))</f>
        <v>Stage 2</v>
      </c>
      <c r="H181" s="16" t="n">
        <f aca="false">IF(G181="Stage 1",12,MIN(Portfolio!H181,60))</f>
        <v>60</v>
      </c>
      <c r="I181" s="24" t="n">
        <f aca="false">1-(1-D181)^(H181/12)</f>
        <v>0.691359043419057</v>
      </c>
      <c r="J181" s="24" t="n">
        <f aca="false">IF(G181="Stage 1",D181,I181)</f>
        <v>0.691359043419057</v>
      </c>
      <c r="K181" s="25" t="n">
        <f aca="false">J181*'Cover &amp; Assumptions'!$D$11*E181*'Cover &amp; Assumptions'!$E$11*C181</f>
        <v>8962.05614275832</v>
      </c>
      <c r="L181" s="25" t="n">
        <f aca="false">J181*'Cover &amp; Assumptions'!$D$12*E181*'Cover &amp; Assumptions'!$E$12*C181</f>
        <v>11098.5215390196</v>
      </c>
      <c r="M181" s="25" t="n">
        <f aca="false">J181*'Cover &amp; Assumptions'!$D$13*E181*'Cover &amp; Assumptions'!$E$13*C181</f>
        <v>19311.4274778941</v>
      </c>
      <c r="N181" s="25" t="n">
        <f aca="false">K181*'Cover &amp; Assumptions'!$C$11+L181*'Cover &amp; Assumptions'!$C$12+M181*'Cover &amp; Assumptions'!$C$13</f>
        <v>12724.454944486</v>
      </c>
    </row>
    <row r="182" customFormat="false" ht="15" hidden="false" customHeight="false" outlineLevel="0" collapsed="false">
      <c r="A182" s="17" t="str">
        <f aca="false">Portfolio!A182</f>
        <v>UKSME-100056</v>
      </c>
      <c r="B182" s="17" t="str">
        <f aca="false">Portfolio!B182</f>
        <v>Hospitality</v>
      </c>
      <c r="C182" s="21" t="n">
        <f aca="false">Portfolio!D182</f>
        <v>207012</v>
      </c>
      <c r="D182" s="22" t="n">
        <f aca="false">Portfolio!G182</f>
        <v>0.264807273270284</v>
      </c>
      <c r="E182" s="23" t="n">
        <f aca="false">Portfolio!E182</f>
        <v>0.528</v>
      </c>
      <c r="F182" s="17" t="n">
        <f aca="false">Portfolio!F182</f>
        <v>0</v>
      </c>
      <c r="G182" s="16" t="str">
        <f aca="false">IF(OR(F182&gt;='Cover &amp; Assumptions'!$C$22,Portfolio!I182=1),"Stage 3",IF(OR(F182&gt;=30,D182&gt;'Cover &amp; Assumptions'!$C$21),"Stage 2","Stage 1"))</f>
        <v>Stage 2</v>
      </c>
      <c r="H182" s="16" t="n">
        <f aca="false">IF(G182="Stage 1",12,MIN(Portfolio!H182,60))</f>
        <v>48</v>
      </c>
      <c r="I182" s="24" t="n">
        <f aca="false">1-(1-D182)^(H182/12)</f>
        <v>0.70785072851374</v>
      </c>
      <c r="J182" s="24" t="n">
        <f aca="false">IF(G182="Stage 1",D182,I182)</f>
        <v>0.70785072851374</v>
      </c>
      <c r="K182" s="25" t="n">
        <f aca="false">J182*'Cover &amp; Assumptions'!$D$11*E182*'Cover &amp; Assumptions'!$E$11*C182</f>
        <v>62476.0635689268</v>
      </c>
      <c r="L182" s="25" t="n">
        <f aca="false">J182*'Cover &amp; Assumptions'!$D$12*E182*'Cover &amp; Assumptions'!$E$12*C182</f>
        <v>77369.7381658536</v>
      </c>
      <c r="M182" s="25" t="n">
        <f aca="false">J182*'Cover &amp; Assumptions'!$D$13*E182*'Cover &amp; Assumptions'!$E$13*C182</f>
        <v>134623.344408585</v>
      </c>
      <c r="N182" s="25" t="n">
        <f aca="false">K182*'Cover &amp; Assumptions'!$C$11+L182*'Cover &amp; Assumptions'!$C$12+M182*'Cover &amp; Assumptions'!$C$13</f>
        <v>88704.4048071511</v>
      </c>
    </row>
    <row r="183" customFormat="false" ht="15" hidden="false" customHeight="false" outlineLevel="0" collapsed="false">
      <c r="A183" s="17" t="str">
        <f aca="false">Portfolio!A183</f>
        <v>UKSME-103087</v>
      </c>
      <c r="B183" s="17" t="str">
        <f aca="false">Portfolio!B183</f>
        <v>Technology</v>
      </c>
      <c r="C183" s="21" t="n">
        <f aca="false">Portfolio!D183</f>
        <v>74968</v>
      </c>
      <c r="D183" s="22" t="n">
        <f aca="false">Portfolio!G183</f>
        <v>0.0631590702332818</v>
      </c>
      <c r="E183" s="23" t="n">
        <f aca="false">Portfolio!E183</f>
        <v>0.699</v>
      </c>
      <c r="F183" s="17" t="n">
        <f aca="false">Portfolio!F183</f>
        <v>0</v>
      </c>
      <c r="G183" s="16" t="str">
        <f aca="false">IF(OR(F183&gt;='Cover &amp; Assumptions'!$C$22,Portfolio!I183=1),"Stage 3",IF(OR(F183&gt;=30,D183&gt;'Cover &amp; Assumptions'!$C$21),"Stage 2","Stage 1"))</f>
        <v>Stage 1</v>
      </c>
      <c r="H183" s="16" t="n">
        <f aca="false">IF(G183="Stage 1",12,MIN(Portfolio!H183,60))</f>
        <v>12</v>
      </c>
      <c r="I183" s="24" t="n">
        <f aca="false">1-(1-D183)^(H183/12)</f>
        <v>0.0631590702332818</v>
      </c>
      <c r="J183" s="24" t="n">
        <f aca="false">IF(G183="Stage 1",D183,I183)</f>
        <v>0.0631590702332818</v>
      </c>
      <c r="K183" s="25" t="n">
        <f aca="false">J183*'Cover &amp; Assumptions'!$D$11*E183*'Cover &amp; Assumptions'!$E$11*C183</f>
        <v>2672.58397327918</v>
      </c>
      <c r="L183" s="25" t="n">
        <f aca="false">J183*'Cover &amp; Assumptions'!$D$12*E183*'Cover &amp; Assumptions'!$E$12*C183</f>
        <v>3309.70151489682</v>
      </c>
      <c r="M183" s="25" t="n">
        <f aca="false">J183*'Cover &amp; Assumptions'!$D$13*E183*'Cover &amp; Assumptions'!$E$13*C183</f>
        <v>5758.88063592047</v>
      </c>
      <c r="N183" s="25" t="n">
        <f aca="false">K183*'Cover &amp; Assumptions'!$C$11+L183*'Cover &amp; Assumptions'!$C$12+M183*'Cover &amp; Assumptions'!$C$13</f>
        <v>3794.5727868292</v>
      </c>
    </row>
    <row r="184" customFormat="false" ht="15" hidden="false" customHeight="false" outlineLevel="0" collapsed="false">
      <c r="A184" s="17" t="str">
        <f aca="false">Portfolio!A184</f>
        <v>UKSME-106766</v>
      </c>
      <c r="B184" s="17" t="str">
        <f aca="false">Portfolio!B184</f>
        <v>Manufacturing</v>
      </c>
      <c r="C184" s="21" t="n">
        <f aca="false">Portfolio!D184</f>
        <v>9118</v>
      </c>
      <c r="D184" s="22" t="n">
        <f aca="false">Portfolio!G184</f>
        <v>0.217539303374159</v>
      </c>
      <c r="E184" s="23" t="n">
        <f aca="false">Portfolio!E184</f>
        <v>0.679</v>
      </c>
      <c r="F184" s="17" t="n">
        <f aca="false">Portfolio!F184</f>
        <v>0</v>
      </c>
      <c r="G184" s="16" t="str">
        <f aca="false">IF(OR(F184&gt;='Cover &amp; Assumptions'!$C$22,Portfolio!I184=1),"Stage 3",IF(OR(F184&gt;=30,D184&gt;'Cover &amp; Assumptions'!$C$21),"Stage 2","Stage 1"))</f>
        <v>Stage 2</v>
      </c>
      <c r="H184" s="16" t="n">
        <f aca="false">IF(G184="Stage 1",12,MIN(Portfolio!H184,60))</f>
        <v>60</v>
      </c>
      <c r="I184" s="24" t="n">
        <f aca="false">1-(1-D184)^(H184/12)</f>
        <v>0.706699596981685</v>
      </c>
      <c r="J184" s="24" t="n">
        <f aca="false">IF(G184="Stage 1",D184,I184)</f>
        <v>0.706699596981685</v>
      </c>
      <c r="K184" s="25" t="n">
        <f aca="false">J184*'Cover &amp; Assumptions'!$D$11*E184*'Cover &amp; Assumptions'!$E$11*C184</f>
        <v>3533.02521347854</v>
      </c>
      <c r="L184" s="25" t="n">
        <f aca="false">J184*'Cover &amp; Assumptions'!$D$12*E184*'Cover &amp; Assumptions'!$E$12*C184</f>
        <v>4375.26342226444</v>
      </c>
      <c r="M184" s="25" t="n">
        <f aca="false">J184*'Cover &amp; Assumptions'!$D$13*E184*'Cover &amp; Assumptions'!$E$13*C184</f>
        <v>7612.95835474013</v>
      </c>
      <c r="N184" s="25" t="n">
        <f aca="false">K184*'Cover &amp; Assumptions'!$C$11+L184*'Cover &amp; Assumptions'!$C$12+M184*'Cover &amp; Assumptions'!$C$13</f>
        <v>5016.23951362618</v>
      </c>
    </row>
    <row r="185" customFormat="false" ht="15" hidden="false" customHeight="false" outlineLevel="0" collapsed="false">
      <c r="A185" s="17" t="str">
        <f aca="false">Portfolio!A185</f>
        <v>UKSME-109062</v>
      </c>
      <c r="B185" s="17" t="str">
        <f aca="false">Portfolio!B185</f>
        <v>Professional Services</v>
      </c>
      <c r="C185" s="21" t="n">
        <f aca="false">Portfolio!D185</f>
        <v>38946</v>
      </c>
      <c r="D185" s="22" t="n">
        <f aca="false">Portfolio!G185</f>
        <v>0.135759186000843</v>
      </c>
      <c r="E185" s="23" t="n">
        <f aca="false">Portfolio!E185</f>
        <v>0.284</v>
      </c>
      <c r="F185" s="17" t="n">
        <f aca="false">Portfolio!F185</f>
        <v>0</v>
      </c>
      <c r="G185" s="16" t="str">
        <f aca="false">IF(OR(F185&gt;='Cover &amp; Assumptions'!$C$22,Portfolio!I185=1),"Stage 3",IF(OR(F185&gt;=30,D185&gt;'Cover &amp; Assumptions'!$C$21),"Stage 2","Stage 1"))</f>
        <v>Stage 3</v>
      </c>
      <c r="H185" s="16" t="n">
        <f aca="false">IF(G185="Stage 1",12,MIN(Portfolio!H185,60))</f>
        <v>60</v>
      </c>
      <c r="I185" s="24" t="n">
        <f aca="false">1-(1-D185)^(H185/12)</f>
        <v>0.517859226097097</v>
      </c>
      <c r="J185" s="24" t="n">
        <f aca="false">IF(G185="Stage 1",D185,I185)</f>
        <v>0.517859226097097</v>
      </c>
      <c r="K185" s="25" t="n">
        <f aca="false">J185*'Cover &amp; Assumptions'!$D$11*E185*'Cover &amp; Assumptions'!$E$11*C185</f>
        <v>4625.25252107172</v>
      </c>
      <c r="L185" s="25" t="n">
        <f aca="false">J185*'Cover &amp; Assumptions'!$D$12*E185*'Cover &amp; Assumptions'!$E$12*C185</f>
        <v>5727.86689916002</v>
      </c>
      <c r="M185" s="25" t="n">
        <f aca="false">J185*'Cover &amp; Assumptions'!$D$13*E185*'Cover &amp; Assumptions'!$E$13*C185</f>
        <v>9966.48840453844</v>
      </c>
      <c r="N185" s="25" t="n">
        <f aca="false">K185*'Cover &amp; Assumptions'!$C$11+L185*'Cover &amp; Assumptions'!$C$12+M185*'Cover &amp; Assumptions'!$C$13</f>
        <v>6566.99939988697</v>
      </c>
    </row>
    <row r="186" customFormat="false" ht="15" hidden="false" customHeight="false" outlineLevel="0" collapsed="false">
      <c r="A186" s="17" t="str">
        <f aca="false">Portfolio!A186</f>
        <v>UKSME-101312</v>
      </c>
      <c r="B186" s="17" t="str">
        <f aca="false">Portfolio!B186</f>
        <v>Professional Services</v>
      </c>
      <c r="C186" s="21" t="n">
        <f aca="false">Portfolio!D186</f>
        <v>55420</v>
      </c>
      <c r="D186" s="22" t="n">
        <f aca="false">Portfolio!G186</f>
        <v>0.116382987376836</v>
      </c>
      <c r="E186" s="23" t="n">
        <f aca="false">Portfolio!E186</f>
        <v>0.165</v>
      </c>
      <c r="F186" s="17" t="n">
        <f aca="false">Portfolio!F186</f>
        <v>0</v>
      </c>
      <c r="G186" s="16" t="str">
        <f aca="false">IF(OR(F186&gt;='Cover &amp; Assumptions'!$C$22,Portfolio!I186=1),"Stage 3",IF(OR(F186&gt;=30,D186&gt;'Cover &amp; Assumptions'!$C$21),"Stage 2","Stage 1"))</f>
        <v>Stage 1</v>
      </c>
      <c r="H186" s="16" t="n">
        <f aca="false">IF(G186="Stage 1",12,MIN(Portfolio!H186,60))</f>
        <v>12</v>
      </c>
      <c r="I186" s="24" t="n">
        <f aca="false">1-(1-D186)^(H186/12)</f>
        <v>0.116382987376836</v>
      </c>
      <c r="J186" s="24" t="n">
        <f aca="false">IF(G186="Stage 1",D186,I186)</f>
        <v>0.116382987376836</v>
      </c>
      <c r="K186" s="25" t="n">
        <f aca="false">J186*'Cover &amp; Assumptions'!$D$11*E186*'Cover &amp; Assumptions'!$E$11*C186</f>
        <v>859.374568312023</v>
      </c>
      <c r="L186" s="25" t="n">
        <f aca="false">J186*'Cover &amp; Assumptions'!$D$12*E186*'Cover &amp; Assumptions'!$E$12*C186</f>
        <v>1064.24095147</v>
      </c>
      <c r="M186" s="25" t="n">
        <f aca="false">J186*'Cover &amp; Assumptions'!$D$13*E186*'Cover &amp; Assumptions'!$E$13*C186</f>
        <v>1851.77925555779</v>
      </c>
      <c r="N186" s="25" t="n">
        <f aca="false">K186*'Cover &amp; Assumptions'!$C$11+L186*'Cover &amp; Assumptions'!$C$12+M186*'Cover &amp; Assumptions'!$C$13</f>
        <v>1220.15225086035</v>
      </c>
    </row>
    <row r="187" customFormat="false" ht="15" hidden="false" customHeight="false" outlineLevel="0" collapsed="false">
      <c r="A187" s="17" t="str">
        <f aca="false">Portfolio!A187</f>
        <v>UKSME-107332</v>
      </c>
      <c r="B187" s="17" t="str">
        <f aca="false">Portfolio!B187</f>
        <v>Hospitality</v>
      </c>
      <c r="C187" s="21" t="n">
        <f aca="false">Portfolio!D187</f>
        <v>134652</v>
      </c>
      <c r="D187" s="22" t="n">
        <f aca="false">Portfolio!G187</f>
        <v>0.2513596618621</v>
      </c>
      <c r="E187" s="23" t="n">
        <f aca="false">Portfolio!E187</f>
        <v>0.664</v>
      </c>
      <c r="F187" s="17" t="n">
        <f aca="false">Portfolio!F187</f>
        <v>0</v>
      </c>
      <c r="G187" s="16" t="str">
        <f aca="false">IF(OR(F187&gt;='Cover &amp; Assumptions'!$C$22,Portfolio!I187=1),"Stage 3",IF(OR(F187&gt;=30,D187&gt;'Cover &amp; Assumptions'!$C$21),"Stage 2","Stage 1"))</f>
        <v>Stage 2</v>
      </c>
      <c r="H187" s="16" t="n">
        <f aca="false">IF(G187="Stage 1",12,MIN(Portfolio!H187,60))</f>
        <v>60</v>
      </c>
      <c r="I187" s="24" t="n">
        <f aca="false">1-(1-D187)^(H187/12)</f>
        <v>0.764838555061002</v>
      </c>
      <c r="J187" s="24" t="n">
        <f aca="false">IF(G187="Stage 1",D187,I187)</f>
        <v>0.764838555061002</v>
      </c>
      <c r="K187" s="25" t="n">
        <f aca="false">J187*'Cover &amp; Assumptions'!$D$11*E187*'Cover &amp; Assumptions'!$E$11*C187</f>
        <v>55219.5917056166</v>
      </c>
      <c r="L187" s="25" t="n">
        <f aca="false">J187*'Cover &amp; Assumptions'!$D$12*E187*'Cover &amp; Assumptions'!$E$12*C187</f>
        <v>68383.3953010732</v>
      </c>
      <c r="M187" s="25" t="n">
        <f aca="false">J187*'Cover &amp; Assumptions'!$D$13*E187*'Cover &amp; Assumptions'!$E$13*C187</f>
        <v>118987.107823867</v>
      </c>
      <c r="N187" s="25" t="n">
        <f aca="false">K187*'Cover &amp; Assumptions'!$C$11+L187*'Cover &amp; Assumptions'!$C$12+M187*'Cover &amp; Assumptions'!$C$13</f>
        <v>78401.5627126804</v>
      </c>
    </row>
    <row r="188" customFormat="false" ht="15" hidden="false" customHeight="false" outlineLevel="0" collapsed="false">
      <c r="A188" s="17" t="str">
        <f aca="false">Portfolio!A188</f>
        <v>UKSME-101385</v>
      </c>
      <c r="B188" s="17" t="str">
        <f aca="false">Portfolio!B188</f>
        <v>Transport</v>
      </c>
      <c r="C188" s="21" t="n">
        <f aca="false">Portfolio!D188</f>
        <v>30917</v>
      </c>
      <c r="D188" s="22" t="n">
        <f aca="false">Portfolio!G188</f>
        <v>0.001</v>
      </c>
      <c r="E188" s="23" t="n">
        <f aca="false">Portfolio!E188</f>
        <v>0.43</v>
      </c>
      <c r="F188" s="17" t="n">
        <f aca="false">Portfolio!F188</f>
        <v>0</v>
      </c>
      <c r="G188" s="16" t="str">
        <f aca="false">IF(OR(F188&gt;='Cover &amp; Assumptions'!$C$22,Portfolio!I188=1),"Stage 3",IF(OR(F188&gt;=30,D188&gt;'Cover &amp; Assumptions'!$C$21),"Stage 2","Stage 1"))</f>
        <v>Stage 1</v>
      </c>
      <c r="H188" s="16" t="n">
        <f aca="false">IF(G188="Stage 1",12,MIN(Portfolio!H188,60))</f>
        <v>12</v>
      </c>
      <c r="I188" s="24" t="n">
        <f aca="false">1-(1-D188)^(H188/12)</f>
        <v>0.001</v>
      </c>
      <c r="J188" s="24" t="n">
        <f aca="false">IF(G188="Stage 1",D188,I188)</f>
        <v>0.001</v>
      </c>
      <c r="K188" s="25" t="n">
        <f aca="false">J188*'Cover &amp; Assumptions'!$D$11*E188*'Cover &amp; Assumptions'!$E$11*C188</f>
        <v>10.735155325</v>
      </c>
      <c r="L188" s="25" t="n">
        <f aca="false">J188*'Cover &amp; Assumptions'!$D$12*E188*'Cover &amp; Assumptions'!$E$12*C188</f>
        <v>13.29431</v>
      </c>
      <c r="M188" s="25" t="n">
        <f aca="false">J188*'Cover &amp; Assumptions'!$D$13*E188*'Cover &amp; Assumptions'!$E$13*C188</f>
        <v>23.1320994</v>
      </c>
      <c r="N188" s="25" t="n">
        <f aca="false">K188*'Cover &amp; Assumptions'!$C$11+L188*'Cover &amp; Assumptions'!$C$12+M188*'Cover &amp; Assumptions'!$C$13</f>
        <v>15.241926415</v>
      </c>
    </row>
    <row r="189" customFormat="false" ht="15" hidden="false" customHeight="false" outlineLevel="0" collapsed="false">
      <c r="A189" s="17" t="str">
        <f aca="false">Portfolio!A189</f>
        <v>UKSME-106095</v>
      </c>
      <c r="B189" s="17" t="str">
        <f aca="false">Portfolio!B189</f>
        <v>Construction</v>
      </c>
      <c r="C189" s="21" t="n">
        <f aca="false">Portfolio!D189</f>
        <v>6914</v>
      </c>
      <c r="D189" s="22" t="n">
        <f aca="false">Portfolio!G189</f>
        <v>0.205419659810962</v>
      </c>
      <c r="E189" s="23" t="n">
        <f aca="false">Portfolio!E189</f>
        <v>0.937</v>
      </c>
      <c r="F189" s="17" t="n">
        <f aca="false">Portfolio!F189</f>
        <v>0</v>
      </c>
      <c r="G189" s="16" t="str">
        <f aca="false">IF(OR(F189&gt;='Cover &amp; Assumptions'!$C$22,Portfolio!I189=1),"Stage 3",IF(OR(F189&gt;=30,D189&gt;'Cover &amp; Assumptions'!$C$21),"Stage 2","Stage 1"))</f>
        <v>Stage 2</v>
      </c>
      <c r="H189" s="16" t="n">
        <f aca="false">IF(G189="Stage 1",12,MIN(Portfolio!H189,60))</f>
        <v>60</v>
      </c>
      <c r="I189" s="24" t="n">
        <f aca="false">1-(1-D189)^(H189/12)</f>
        <v>0.683270090375372</v>
      </c>
      <c r="J189" s="24" t="n">
        <f aca="false">IF(G189="Stage 1",D189,I189)</f>
        <v>0.683270090375372</v>
      </c>
      <c r="K189" s="25" t="n">
        <f aca="false">J189*'Cover &amp; Assumptions'!$D$11*E189*'Cover &amp; Assumptions'!$E$11*C189</f>
        <v>3574.40622127217</v>
      </c>
      <c r="L189" s="25" t="n">
        <f aca="false">J189*'Cover &amp; Assumptions'!$D$12*E189*'Cover &amp; Assumptions'!$E$12*C189</f>
        <v>4426.50925234944</v>
      </c>
      <c r="M189" s="25" t="n">
        <f aca="false">J189*'Cover &amp; Assumptions'!$D$13*E189*'Cover &amp; Assumptions'!$E$13*C189</f>
        <v>7702.12609908802</v>
      </c>
      <c r="N189" s="25" t="n">
        <f aca="false">K189*'Cover &amp; Assumptions'!$C$11+L189*'Cover &amp; Assumptions'!$C$12+M189*'Cover &amp; Assumptions'!$C$13</f>
        <v>5074.99285781863</v>
      </c>
    </row>
    <row r="190" customFormat="false" ht="15" hidden="false" customHeight="false" outlineLevel="0" collapsed="false">
      <c r="A190" s="17" t="str">
        <f aca="false">Portfolio!A190</f>
        <v>UKSME-103538</v>
      </c>
      <c r="B190" s="17" t="str">
        <f aca="false">Portfolio!B190</f>
        <v>Real Estate</v>
      </c>
      <c r="C190" s="21" t="n">
        <f aca="false">Portfolio!D190</f>
        <v>471823</v>
      </c>
      <c r="D190" s="22" t="n">
        <f aca="false">Portfolio!G190</f>
        <v>0.239956365234672</v>
      </c>
      <c r="E190" s="23" t="n">
        <f aca="false">Portfolio!E190</f>
        <v>0.588</v>
      </c>
      <c r="F190" s="17" t="n">
        <f aca="false">Portfolio!F190</f>
        <v>65</v>
      </c>
      <c r="G190" s="16" t="str">
        <f aca="false">IF(OR(F190&gt;='Cover &amp; Assumptions'!$C$22,Portfolio!I190=1),"Stage 3",IF(OR(F190&gt;=30,D190&gt;'Cover &amp; Assumptions'!$C$21),"Stage 2","Stage 1"))</f>
        <v>Stage 2</v>
      </c>
      <c r="H190" s="16" t="n">
        <f aca="false">IF(G190="Stage 1",12,MIN(Portfolio!H190,60))</f>
        <v>36</v>
      </c>
      <c r="I190" s="24" t="n">
        <f aca="false">1-(1-D190)^(H190/12)</f>
        <v>0.560948385337454</v>
      </c>
      <c r="J190" s="24" t="n">
        <f aca="false">IF(G190="Stage 1",D190,I190)</f>
        <v>0.560948385337454</v>
      </c>
      <c r="K190" s="25" t="n">
        <f aca="false">J190*'Cover &amp; Assumptions'!$D$11*E190*'Cover &amp; Assumptions'!$E$11*C190</f>
        <v>125667.179270657</v>
      </c>
      <c r="L190" s="25" t="n">
        <f aca="false">J190*'Cover &amp; Assumptions'!$D$12*E190*'Cover &amp; Assumptions'!$E$12*C190</f>
        <v>155624.989808863</v>
      </c>
      <c r="M190" s="25" t="n">
        <f aca="false">J190*'Cover &amp; Assumptions'!$D$13*E190*'Cover &amp; Assumptions'!$E$13*C190</f>
        <v>270787.482267422</v>
      </c>
      <c r="N190" s="25" t="n">
        <f aca="false">K190*'Cover &amp; Assumptions'!$C$11+L190*'Cover &amp; Assumptions'!$C$12+M190*'Cover &amp; Assumptions'!$C$13</f>
        <v>178424.050815862</v>
      </c>
    </row>
    <row r="191" customFormat="false" ht="15" hidden="false" customHeight="false" outlineLevel="0" collapsed="false">
      <c r="A191" s="17" t="str">
        <f aca="false">Portfolio!A191</f>
        <v>UKSME-108686</v>
      </c>
      <c r="B191" s="17" t="str">
        <f aca="false">Portfolio!B191</f>
        <v>Real Estate</v>
      </c>
      <c r="C191" s="21" t="n">
        <f aca="false">Portfolio!D191</f>
        <v>24650</v>
      </c>
      <c r="D191" s="22" t="n">
        <f aca="false">Portfolio!G191</f>
        <v>0.166441191932873</v>
      </c>
      <c r="E191" s="23" t="n">
        <f aca="false">Portfolio!E191</f>
        <v>0.301</v>
      </c>
      <c r="F191" s="17" t="n">
        <f aca="false">Portfolio!F191</f>
        <v>0</v>
      </c>
      <c r="G191" s="16" t="str">
        <f aca="false">IF(OR(F191&gt;='Cover &amp; Assumptions'!$C$22,Portfolio!I191=1),"Stage 3",IF(OR(F191&gt;=30,D191&gt;'Cover &amp; Assumptions'!$C$21),"Stage 2","Stage 1"))</f>
        <v>Stage 2</v>
      </c>
      <c r="H191" s="16" t="n">
        <f aca="false">IF(G191="Stage 1",12,MIN(Portfolio!H191,60))</f>
        <v>60</v>
      </c>
      <c r="I191" s="24" t="n">
        <f aca="false">1-(1-D191)^(H191/12)</f>
        <v>0.597578454266176</v>
      </c>
      <c r="J191" s="24" t="n">
        <f aca="false">IF(G191="Stage 1",D191,I191)</f>
        <v>0.597578454266176</v>
      </c>
      <c r="K191" s="25" t="n">
        <f aca="false">J191*'Cover &amp; Assumptions'!$D$11*E191*'Cover &amp; Assumptions'!$E$11*C191</f>
        <v>3580.3120548933</v>
      </c>
      <c r="L191" s="25" t="n">
        <f aca="false">J191*'Cover &amp; Assumptions'!$D$12*E191*'Cover &amp; Assumptions'!$E$12*C191</f>
        <v>4433.82297819603</v>
      </c>
      <c r="M191" s="25" t="n">
        <f aca="false">J191*'Cover &amp; Assumptions'!$D$13*E191*'Cover &amp; Assumptions'!$E$13*C191</f>
        <v>7714.8519820611</v>
      </c>
      <c r="N191" s="25" t="n">
        <f aca="false">K191*'Cover &amp; Assumptions'!$C$11+L191*'Cover &amp; Assumptions'!$C$12+M191*'Cover &amp; Assumptions'!$C$13</f>
        <v>5083.37804450175</v>
      </c>
    </row>
    <row r="192" customFormat="false" ht="15" hidden="false" customHeight="false" outlineLevel="0" collapsed="false">
      <c r="A192" s="17" t="str">
        <f aca="false">Portfolio!A192</f>
        <v>UKSME-108201</v>
      </c>
      <c r="B192" s="17" t="str">
        <f aca="false">Portfolio!B192</f>
        <v>Construction</v>
      </c>
      <c r="C192" s="21" t="n">
        <f aca="false">Portfolio!D192</f>
        <v>69409</v>
      </c>
      <c r="D192" s="22" t="n">
        <f aca="false">Portfolio!G192</f>
        <v>0.0920503409550539</v>
      </c>
      <c r="E192" s="23" t="n">
        <f aca="false">Portfolio!E192</f>
        <v>0.05</v>
      </c>
      <c r="F192" s="17" t="n">
        <f aca="false">Portfolio!F192</f>
        <v>0</v>
      </c>
      <c r="G192" s="16" t="str">
        <f aca="false">IF(OR(F192&gt;='Cover &amp; Assumptions'!$C$22,Portfolio!I192=1),"Stage 3",IF(OR(F192&gt;=30,D192&gt;'Cover &amp; Assumptions'!$C$21),"Stage 2","Stage 1"))</f>
        <v>Stage 1</v>
      </c>
      <c r="H192" s="16" t="n">
        <f aca="false">IF(G192="Stage 1",12,MIN(Portfolio!H192,60))</f>
        <v>12</v>
      </c>
      <c r="I192" s="24" t="n">
        <f aca="false">1-(1-D192)^(H192/12)</f>
        <v>0.0920503409550539</v>
      </c>
      <c r="J192" s="24" t="n">
        <f aca="false">IF(G192="Stage 1",D192,I192)</f>
        <v>0.0920503409550539</v>
      </c>
      <c r="K192" s="25" t="n">
        <f aca="false">J192*'Cover &amp; Assumptions'!$D$11*E192*'Cover &amp; Assumptions'!$E$11*C192</f>
        <v>257.96080540723</v>
      </c>
      <c r="L192" s="25" t="n">
        <f aca="false">J192*'Cover &amp; Assumptions'!$D$12*E192*'Cover &amp; Assumptions'!$E$12*C192</f>
        <v>319.456105767467</v>
      </c>
      <c r="M192" s="25" t="n">
        <f aca="false">J192*'Cover &amp; Assumptions'!$D$13*E192*'Cover &amp; Assumptions'!$E$13*C192</f>
        <v>555.853624035392</v>
      </c>
      <c r="N192" s="25" t="n">
        <f aca="false">K192*'Cover &amp; Assumptions'!$C$11+L192*'Cover &amp; Assumptions'!$C$12+M192*'Cover &amp; Assumptions'!$C$13</f>
        <v>366.256425262401</v>
      </c>
    </row>
    <row r="193" customFormat="false" ht="15" hidden="false" customHeight="false" outlineLevel="0" collapsed="false">
      <c r="A193" s="17" t="str">
        <f aca="false">Portfolio!A193</f>
        <v>UKSME-109960</v>
      </c>
      <c r="B193" s="17" t="str">
        <f aca="false">Portfolio!B193</f>
        <v>Technology</v>
      </c>
      <c r="C193" s="21" t="n">
        <f aca="false">Portfolio!D193</f>
        <v>302750</v>
      </c>
      <c r="D193" s="22" t="n">
        <f aca="false">Portfolio!G193</f>
        <v>0.193241787382882</v>
      </c>
      <c r="E193" s="23" t="n">
        <f aca="false">Portfolio!E193</f>
        <v>0.05</v>
      </c>
      <c r="F193" s="17" t="n">
        <f aca="false">Portfolio!F193</f>
        <v>5</v>
      </c>
      <c r="G193" s="16" t="str">
        <f aca="false">IF(OR(F193&gt;='Cover &amp; Assumptions'!$C$22,Portfolio!I193=1),"Stage 3",IF(OR(F193&gt;=30,D193&gt;'Cover &amp; Assumptions'!$C$21),"Stage 2","Stage 1"))</f>
        <v>Stage 3</v>
      </c>
      <c r="H193" s="16" t="n">
        <f aca="false">IF(G193="Stage 1",12,MIN(Portfolio!H193,60))</f>
        <v>48</v>
      </c>
      <c r="I193" s="24" t="n">
        <f aca="false">1-(1-D193)^(H193/12)</f>
        <v>0.57638280472644</v>
      </c>
      <c r="J193" s="24" t="n">
        <f aca="false">IF(G193="Stage 1",D193,I193)</f>
        <v>0.57638280472644</v>
      </c>
      <c r="K193" s="25" t="n">
        <f aca="false">J193*'Cover &amp; Assumptions'!$D$11*E193*'Cover &amp; Assumptions'!$E$11*C193</f>
        <v>7045.43322553629</v>
      </c>
      <c r="L193" s="25" t="n">
        <f aca="false">J193*'Cover &amp; Assumptions'!$D$12*E193*'Cover &amp; Assumptions'!$E$12*C193</f>
        <v>8724.99470654648</v>
      </c>
      <c r="M193" s="25" t="n">
        <f aca="false">J193*'Cover &amp; Assumptions'!$D$13*E193*'Cover &amp; Assumptions'!$E$13*C193</f>
        <v>15181.4907893909</v>
      </c>
      <c r="N193" s="25" t="n">
        <f aca="false">K193*'Cover &amp; Assumptions'!$C$11+L193*'Cover &amp; Assumptions'!$C$12+M193*'Cover &amp; Assumptions'!$C$13</f>
        <v>10003.2064310555</v>
      </c>
    </row>
    <row r="194" customFormat="false" ht="15" hidden="false" customHeight="false" outlineLevel="0" collapsed="false">
      <c r="A194" s="17" t="str">
        <f aca="false">Portfolio!A194</f>
        <v>UKSME-100945</v>
      </c>
      <c r="B194" s="17" t="str">
        <f aca="false">Portfolio!B194</f>
        <v>Retail</v>
      </c>
      <c r="C194" s="21" t="n">
        <f aca="false">Portfolio!D194</f>
        <v>71628</v>
      </c>
      <c r="D194" s="22" t="n">
        <f aca="false">Portfolio!G194</f>
        <v>0.293744365300352</v>
      </c>
      <c r="E194" s="23" t="n">
        <f aca="false">Portfolio!E194</f>
        <v>0.087</v>
      </c>
      <c r="F194" s="17" t="n">
        <f aca="false">Portfolio!F194</f>
        <v>15</v>
      </c>
      <c r="G194" s="16" t="str">
        <f aca="false">IF(OR(F194&gt;='Cover &amp; Assumptions'!$C$22,Portfolio!I194=1),"Stage 3",IF(OR(F194&gt;=30,D194&gt;'Cover &amp; Assumptions'!$C$21),"Stage 2","Stage 1"))</f>
        <v>Stage 2</v>
      </c>
      <c r="H194" s="16" t="n">
        <f aca="false">IF(G194="Stage 1",12,MIN(Portfolio!H194,60))</f>
        <v>36</v>
      </c>
      <c r="I194" s="24" t="n">
        <f aca="false">1-(1-D194)^(H194/12)</f>
        <v>0.64772179296244</v>
      </c>
      <c r="J194" s="24" t="n">
        <f aca="false">IF(G194="Stage 1",D194,I194)</f>
        <v>0.64772179296244</v>
      </c>
      <c r="K194" s="25" t="n">
        <f aca="false">J194*'Cover &amp; Assumptions'!$D$11*E194*'Cover &amp; Assumptions'!$E$11*C194</f>
        <v>3259.36590273</v>
      </c>
      <c r="L194" s="25" t="n">
        <f aca="false">J194*'Cover &amp; Assumptions'!$D$12*E194*'Cover &amp; Assumptions'!$E$12*C194</f>
        <v>4036.36644300928</v>
      </c>
      <c r="M194" s="25" t="n">
        <f aca="false">J194*'Cover &amp; Assumptions'!$D$13*E194*'Cover &amp; Assumptions'!$E$13*C194</f>
        <v>7023.27761083616</v>
      </c>
      <c r="N194" s="25" t="n">
        <f aca="false">K194*'Cover &amp; Assumptions'!$C$11+L194*'Cover &amp; Assumptions'!$C$12+M194*'Cover &amp; Assumptions'!$C$13</f>
        <v>4627.69412691014</v>
      </c>
    </row>
    <row r="195" customFormat="false" ht="15" hidden="false" customHeight="false" outlineLevel="0" collapsed="false">
      <c r="A195" s="17" t="str">
        <f aca="false">Portfolio!A195</f>
        <v>UKSME-101665</v>
      </c>
      <c r="B195" s="17" t="str">
        <f aca="false">Portfolio!B195</f>
        <v>Retail</v>
      </c>
      <c r="C195" s="21" t="n">
        <f aca="false">Portfolio!D195</f>
        <v>245517</v>
      </c>
      <c r="D195" s="22" t="n">
        <f aca="false">Portfolio!G195</f>
        <v>0.174667328793241</v>
      </c>
      <c r="E195" s="23" t="n">
        <f aca="false">Portfolio!E195</f>
        <v>0.336</v>
      </c>
      <c r="F195" s="17" t="n">
        <f aca="false">Portfolio!F195</f>
        <v>0</v>
      </c>
      <c r="G195" s="16" t="str">
        <f aca="false">IF(OR(F195&gt;='Cover &amp; Assumptions'!$C$22,Portfolio!I195=1),"Stage 3",IF(OR(F195&gt;=30,D195&gt;'Cover &amp; Assumptions'!$C$21),"Stage 2","Stage 1"))</f>
        <v>Stage 3</v>
      </c>
      <c r="H195" s="16" t="n">
        <f aca="false">IF(G195="Stage 1",12,MIN(Portfolio!H195,60))</f>
        <v>36</v>
      </c>
      <c r="I195" s="24" t="n">
        <f aca="false">1-(1-D195)^(H195/12)</f>
        <v>0.437804828034306</v>
      </c>
      <c r="J195" s="24" t="n">
        <f aca="false">IF(G195="Stage 1",D195,I195)</f>
        <v>0.437804828034306</v>
      </c>
      <c r="K195" s="25" t="n">
        <f aca="false">J195*'Cover &amp; Assumptions'!$D$11*E195*'Cover &amp; Assumptions'!$E$11*C195</f>
        <v>29163.7874073278</v>
      </c>
      <c r="L195" s="25" t="n">
        <f aca="false">J195*'Cover &amp; Assumptions'!$D$12*E195*'Cover &amp; Assumptions'!$E$12*C195</f>
        <v>36116.1453960715</v>
      </c>
      <c r="M195" s="25" t="n">
        <f aca="false">J195*'Cover &amp; Assumptions'!$D$13*E195*'Cover &amp; Assumptions'!$E$13*C195</f>
        <v>62842.0929891645</v>
      </c>
      <c r="N195" s="25" t="n">
        <f aca="false">K195*'Cover &amp; Assumptions'!$C$11+L195*'Cover &amp; Assumptions'!$C$12+M195*'Cover &amp; Assumptions'!$C$13</f>
        <v>41407.160696596</v>
      </c>
    </row>
    <row r="196" customFormat="false" ht="15" hidden="false" customHeight="false" outlineLevel="0" collapsed="false">
      <c r="A196" s="17" t="str">
        <f aca="false">Portfolio!A196</f>
        <v>UKSME-101442</v>
      </c>
      <c r="B196" s="17" t="str">
        <f aca="false">Portfolio!B196</f>
        <v>Technology</v>
      </c>
      <c r="C196" s="21" t="n">
        <f aca="false">Portfolio!D196</f>
        <v>28451</v>
      </c>
      <c r="D196" s="22" t="n">
        <f aca="false">Portfolio!G196</f>
        <v>0.135569043132623</v>
      </c>
      <c r="E196" s="23" t="n">
        <f aca="false">Portfolio!E196</f>
        <v>0.216</v>
      </c>
      <c r="F196" s="17" t="n">
        <f aca="false">Portfolio!F196</f>
        <v>0</v>
      </c>
      <c r="G196" s="16" t="str">
        <f aca="false">IF(OR(F196&gt;='Cover &amp; Assumptions'!$C$22,Portfolio!I196=1),"Stage 3",IF(OR(F196&gt;=30,D196&gt;'Cover &amp; Assumptions'!$C$21),"Stage 2","Stage 1"))</f>
        <v>Stage 1</v>
      </c>
      <c r="H196" s="16" t="n">
        <f aca="false">IF(G196="Stage 1",12,MIN(Portfolio!H196,60))</f>
        <v>12</v>
      </c>
      <c r="I196" s="24" t="n">
        <f aca="false">1-(1-D196)^(H196/12)</f>
        <v>0.135569043132623</v>
      </c>
      <c r="J196" s="24" t="n">
        <f aca="false">IF(G196="Stage 1",D196,I196)</f>
        <v>0.135569043132623</v>
      </c>
      <c r="K196" s="25" t="n">
        <f aca="false">J196*'Cover &amp; Assumptions'!$D$11*E196*'Cover &amp; Assumptions'!$E$11*C196</f>
        <v>672.75099466832</v>
      </c>
      <c r="L196" s="25" t="n">
        <f aca="false">J196*'Cover &amp; Assumptions'!$D$12*E196*'Cover &amp; Assumptions'!$E$12*C196</f>
        <v>833.128166771913</v>
      </c>
      <c r="M196" s="25" t="n">
        <f aca="false">J196*'Cover &amp; Assumptions'!$D$13*E196*'Cover &amp; Assumptions'!$E$13*C196</f>
        <v>1449.64301018313</v>
      </c>
      <c r="N196" s="25" t="n">
        <f aca="false">K196*'Cover &amp; Assumptions'!$C$11+L196*'Cover &amp; Assumptions'!$C$12+M196*'Cover &amp; Assumptions'!$C$13</f>
        <v>955.181443203999</v>
      </c>
    </row>
    <row r="197" customFormat="false" ht="15" hidden="false" customHeight="false" outlineLevel="0" collapsed="false">
      <c r="A197" s="17" t="str">
        <f aca="false">Portfolio!A197</f>
        <v>UKSME-105644</v>
      </c>
      <c r="B197" s="17" t="str">
        <f aca="false">Portfolio!B197</f>
        <v>Wholesale</v>
      </c>
      <c r="C197" s="21" t="n">
        <f aca="false">Portfolio!D197</f>
        <v>79121</v>
      </c>
      <c r="D197" s="22" t="n">
        <f aca="false">Portfolio!G197</f>
        <v>0.177127419501315</v>
      </c>
      <c r="E197" s="23" t="n">
        <f aca="false">Portfolio!E197</f>
        <v>0.22</v>
      </c>
      <c r="F197" s="17" t="n">
        <f aca="false">Portfolio!F197</f>
        <v>0</v>
      </c>
      <c r="G197" s="16" t="str">
        <f aca="false">IF(OR(F197&gt;='Cover &amp; Assumptions'!$C$22,Portfolio!I197=1),"Stage 3",IF(OR(F197&gt;=30,D197&gt;'Cover &amp; Assumptions'!$C$21),"Stage 2","Stage 1"))</f>
        <v>Stage 3</v>
      </c>
      <c r="H197" s="16" t="n">
        <f aca="false">IF(G197="Stage 1",12,MIN(Portfolio!H197,60))</f>
        <v>60</v>
      </c>
      <c r="I197" s="24" t="n">
        <f aca="false">1-(1-D197)^(H197/12)</f>
        <v>0.62272071904626</v>
      </c>
      <c r="J197" s="24" t="n">
        <f aca="false">IF(G197="Stage 1",D197,I197)</f>
        <v>0.62272071904626</v>
      </c>
      <c r="K197" s="25" t="n">
        <f aca="false">J197*'Cover &amp; Assumptions'!$D$11*E197*'Cover &amp; Assumptions'!$E$11*C197</f>
        <v>8752.86630997125</v>
      </c>
      <c r="L197" s="25" t="n">
        <f aca="false">J197*'Cover &amp; Assumptions'!$D$12*E197*'Cover &amp; Assumptions'!$E$12*C197</f>
        <v>10839.462922565</v>
      </c>
      <c r="M197" s="25" t="n">
        <f aca="false">J197*'Cover &amp; Assumptions'!$D$13*E197*'Cover &amp; Assumptions'!$E$13*C197</f>
        <v>18860.6654852631</v>
      </c>
      <c r="N197" s="25" t="n">
        <f aca="false">K197*'Cover &amp; Assumptions'!$C$11+L197*'Cover &amp; Assumptions'!$C$12+M197*'Cover &amp; Assumptions'!$C$13</f>
        <v>12427.4442407208</v>
      </c>
    </row>
    <row r="198" customFormat="false" ht="15" hidden="false" customHeight="false" outlineLevel="0" collapsed="false">
      <c r="A198" s="17" t="str">
        <f aca="false">Portfolio!A198</f>
        <v>UKSME-105722</v>
      </c>
      <c r="B198" s="17" t="str">
        <f aca="false">Portfolio!B198</f>
        <v>Retail</v>
      </c>
      <c r="C198" s="21" t="n">
        <f aca="false">Portfolio!D198</f>
        <v>16206</v>
      </c>
      <c r="D198" s="22" t="n">
        <f aca="false">Portfolio!G198</f>
        <v>0.178720192267506</v>
      </c>
      <c r="E198" s="23" t="n">
        <f aca="false">Portfolio!E198</f>
        <v>0.22</v>
      </c>
      <c r="F198" s="17" t="n">
        <f aca="false">Portfolio!F198</f>
        <v>0</v>
      </c>
      <c r="G198" s="16" t="str">
        <f aca="false">IF(OR(F198&gt;='Cover &amp; Assumptions'!$C$22,Portfolio!I198=1),"Stage 3",IF(OR(F198&gt;=30,D198&gt;'Cover &amp; Assumptions'!$C$21),"Stage 2","Stage 1"))</f>
        <v>Stage 3</v>
      </c>
      <c r="H198" s="16" t="n">
        <f aca="false">IF(G198="Stage 1",12,MIN(Portfolio!H198,60))</f>
        <v>36</v>
      </c>
      <c r="I198" s="24" t="n">
        <f aca="false">1-(1-D198)^(H198/12)</f>
        <v>0.44604634049254</v>
      </c>
      <c r="J198" s="24" t="n">
        <f aca="false">IF(G198="Stage 1",D198,I198)</f>
        <v>0.44604634049254</v>
      </c>
      <c r="K198" s="25" t="n">
        <f aca="false">J198*'Cover &amp; Assumptions'!$D$11*E198*'Cover &amp; Assumptions'!$E$11*C198</f>
        <v>1284.16558548803</v>
      </c>
      <c r="L198" s="25" t="n">
        <f aca="false">J198*'Cover &amp; Assumptions'!$D$12*E198*'Cover &amp; Assumptions'!$E$12*C198</f>
        <v>1590.29793868486</v>
      </c>
      <c r="M198" s="25" t="n">
        <f aca="false">J198*'Cover &amp; Assumptions'!$D$13*E198*'Cover &amp; Assumptions'!$E$13*C198</f>
        <v>2767.11841331166</v>
      </c>
      <c r="N198" s="25" t="n">
        <f aca="false">K198*'Cover &amp; Assumptions'!$C$11+L198*'Cover &amp; Assumptions'!$C$12+M198*'Cover &amp; Assumptions'!$C$13</f>
        <v>1823.27658670219</v>
      </c>
    </row>
    <row r="199" customFormat="false" ht="15" hidden="false" customHeight="false" outlineLevel="0" collapsed="false">
      <c r="A199" s="17" t="str">
        <f aca="false">Portfolio!A199</f>
        <v>UKSME-104660</v>
      </c>
      <c r="B199" s="17" t="str">
        <f aca="false">Portfolio!B199</f>
        <v>Hospitality</v>
      </c>
      <c r="C199" s="21" t="n">
        <f aca="false">Portfolio!D199</f>
        <v>127418</v>
      </c>
      <c r="D199" s="22" t="n">
        <f aca="false">Portfolio!G199</f>
        <v>0.185275385552741</v>
      </c>
      <c r="E199" s="23" t="n">
        <f aca="false">Portfolio!E199</f>
        <v>0.224</v>
      </c>
      <c r="F199" s="17" t="n">
        <f aca="false">Portfolio!F199</f>
        <v>0</v>
      </c>
      <c r="G199" s="16" t="str">
        <f aca="false">IF(OR(F199&gt;='Cover &amp; Assumptions'!$C$22,Portfolio!I199=1),"Stage 3",IF(OR(F199&gt;=30,D199&gt;'Cover &amp; Assumptions'!$C$21),"Stage 2","Stage 1"))</f>
        <v>Stage 2</v>
      </c>
      <c r="H199" s="16" t="n">
        <f aca="false">IF(G199="Stage 1",12,MIN(Portfolio!H199,60))</f>
        <v>60</v>
      </c>
      <c r="I199" s="24" t="n">
        <f aca="false">1-(1-D199)^(H199/12)</f>
        <v>0.641033279778678</v>
      </c>
      <c r="J199" s="24" t="n">
        <f aca="false">IF(G199="Stage 1",D199,I199)</f>
        <v>0.641033279778678</v>
      </c>
      <c r="K199" s="25" t="n">
        <f aca="false">J199*'Cover &amp; Assumptions'!$D$11*E199*'Cover &amp; Assumptions'!$E$11*C199</f>
        <v>14774.1297967408</v>
      </c>
      <c r="L199" s="25" t="n">
        <f aca="false">J199*'Cover &amp; Assumptions'!$D$12*E199*'Cover &amp; Assumptions'!$E$12*C199</f>
        <v>18296.1359711961</v>
      </c>
      <c r="M199" s="25" t="n">
        <f aca="false">J199*'Cover &amp; Assumptions'!$D$13*E199*'Cover &amp; Assumptions'!$E$13*C199</f>
        <v>31835.2765898811</v>
      </c>
      <c r="N199" s="25" t="n">
        <f aca="false">K199*'Cover &amp; Assumptions'!$C$11+L199*'Cover &amp; Assumptions'!$C$12+M199*'Cover &amp; Assumptions'!$C$13</f>
        <v>20976.5198909763</v>
      </c>
    </row>
    <row r="200" customFormat="false" ht="15" hidden="false" customHeight="false" outlineLevel="0" collapsed="false">
      <c r="A200" s="17" t="str">
        <f aca="false">Portfolio!A200</f>
        <v>UKSME-102105</v>
      </c>
      <c r="B200" s="17" t="str">
        <f aca="false">Portfolio!B200</f>
        <v>Real Estate</v>
      </c>
      <c r="C200" s="21" t="n">
        <f aca="false">Portfolio!D200</f>
        <v>51348</v>
      </c>
      <c r="D200" s="22" t="n">
        <f aca="false">Portfolio!G200</f>
        <v>0.143154695881645</v>
      </c>
      <c r="E200" s="23" t="n">
        <f aca="false">Portfolio!E200</f>
        <v>0.309</v>
      </c>
      <c r="F200" s="17" t="n">
        <f aca="false">Portfolio!F200</f>
        <v>0</v>
      </c>
      <c r="G200" s="16" t="str">
        <f aca="false">IF(OR(F200&gt;='Cover &amp; Assumptions'!$C$22,Portfolio!I200=1),"Stage 3",IF(OR(F200&gt;=30,D200&gt;'Cover &amp; Assumptions'!$C$21),"Stage 2","Stage 1"))</f>
        <v>Stage 1</v>
      </c>
      <c r="H200" s="16" t="n">
        <f aca="false">IF(G200="Stage 1",12,MIN(Portfolio!H200,60))</f>
        <v>12</v>
      </c>
      <c r="I200" s="24" t="n">
        <f aca="false">1-(1-D200)^(H200/12)</f>
        <v>0.143154695881645</v>
      </c>
      <c r="J200" s="24" t="n">
        <f aca="false">IF(G200="Stage 1",D200,I200)</f>
        <v>0.143154695881645</v>
      </c>
      <c r="K200" s="25" t="n">
        <f aca="false">J200*'Cover &amp; Assumptions'!$D$11*E200*'Cover &amp; Assumptions'!$E$11*C200</f>
        <v>1834.13011474878</v>
      </c>
      <c r="L200" s="25" t="n">
        <f aca="false">J200*'Cover &amp; Assumptions'!$D$12*E200*'Cover &amp; Assumptions'!$E$12*C200</f>
        <v>2271.36856315639</v>
      </c>
      <c r="M200" s="25" t="n">
        <f aca="false">J200*'Cover &amp; Assumptions'!$D$13*E200*'Cover &amp; Assumptions'!$E$13*C200</f>
        <v>3952.18129989212</v>
      </c>
      <c r="N200" s="25" t="n">
        <f aca="false">K200*'Cover &amp; Assumptions'!$C$11+L200*'Cover &amp; Assumptions'!$C$12+M200*'Cover &amp; Assumptions'!$C$13</f>
        <v>2604.1240576588</v>
      </c>
    </row>
    <row r="201" customFormat="false" ht="15" hidden="false" customHeight="false" outlineLevel="0" collapsed="false">
      <c r="A201" s="17" t="str">
        <f aca="false">Portfolio!A201</f>
        <v>UKSME-101763</v>
      </c>
      <c r="B201" s="17" t="str">
        <f aca="false">Portfolio!B201</f>
        <v>Healthcare</v>
      </c>
      <c r="C201" s="21" t="n">
        <f aca="false">Portfolio!D201</f>
        <v>80710</v>
      </c>
      <c r="D201" s="22" t="n">
        <f aca="false">Portfolio!G201</f>
        <v>0.001</v>
      </c>
      <c r="E201" s="23" t="n">
        <f aca="false">Portfolio!E201</f>
        <v>0.167</v>
      </c>
      <c r="F201" s="17" t="n">
        <f aca="false">Portfolio!F201</f>
        <v>0</v>
      </c>
      <c r="G201" s="16" t="str">
        <f aca="false">IF(OR(F201&gt;='Cover &amp; Assumptions'!$C$22,Portfolio!I201=1),"Stage 3",IF(OR(F201&gt;=30,D201&gt;'Cover &amp; Assumptions'!$C$21),"Stage 2","Stage 1"))</f>
        <v>Stage 1</v>
      </c>
      <c r="H201" s="16" t="n">
        <f aca="false">IF(G201="Stage 1",12,MIN(Portfolio!H201,60))</f>
        <v>12</v>
      </c>
      <c r="I201" s="24" t="n">
        <f aca="false">1-(1-D201)^(H201/12)</f>
        <v>0.001</v>
      </c>
      <c r="J201" s="24" t="n">
        <f aca="false">IF(G201="Stage 1",D201,I201)</f>
        <v>0.001</v>
      </c>
      <c r="K201" s="25" t="n">
        <f aca="false">J201*'Cover &amp; Assumptions'!$D$11*E201*'Cover &amp; Assumptions'!$E$11*C201</f>
        <v>10.883945275</v>
      </c>
      <c r="L201" s="25" t="n">
        <f aca="false">J201*'Cover &amp; Assumptions'!$D$12*E201*'Cover &amp; Assumptions'!$E$12*C201</f>
        <v>13.47857</v>
      </c>
      <c r="M201" s="25" t="n">
        <f aca="false">J201*'Cover &amp; Assumptions'!$D$13*E201*'Cover &amp; Assumptions'!$E$13*C201</f>
        <v>23.4527118</v>
      </c>
      <c r="N201" s="25" t="n">
        <f aca="false">K201*'Cover &amp; Assumptions'!$C$11+L201*'Cover &amp; Assumptions'!$C$12+M201*'Cover &amp; Assumptions'!$C$13</f>
        <v>15.453180505</v>
      </c>
    </row>
    <row r="202" customFormat="false" ht="15" hidden="false" customHeight="false" outlineLevel="0" collapsed="false">
      <c r="A202" s="17" t="str">
        <f aca="false">Portfolio!A202</f>
        <v>UKSME-106729</v>
      </c>
      <c r="B202" s="17" t="str">
        <f aca="false">Portfolio!B202</f>
        <v>Real Estate</v>
      </c>
      <c r="C202" s="21" t="n">
        <f aca="false">Portfolio!D202</f>
        <v>92891</v>
      </c>
      <c r="D202" s="22" t="n">
        <f aca="false">Portfolio!G202</f>
        <v>0.0817365555621041</v>
      </c>
      <c r="E202" s="23" t="n">
        <f aca="false">Portfolio!E202</f>
        <v>0.259</v>
      </c>
      <c r="F202" s="17" t="n">
        <f aca="false">Portfolio!F202</f>
        <v>0</v>
      </c>
      <c r="G202" s="16" t="str">
        <f aca="false">IF(OR(F202&gt;='Cover &amp; Assumptions'!$C$22,Portfolio!I202=1),"Stage 3",IF(OR(F202&gt;=30,D202&gt;'Cover &amp; Assumptions'!$C$21),"Stage 2","Stage 1"))</f>
        <v>Stage 3</v>
      </c>
      <c r="H202" s="16" t="n">
        <f aca="false">IF(G202="Stage 1",12,MIN(Portfolio!H202,60))</f>
        <v>36</v>
      </c>
      <c r="I202" s="24" t="n">
        <f aca="false">1-(1-D202)^(H202/12)</f>
        <v>0.225713143994488</v>
      </c>
      <c r="J202" s="24" t="n">
        <f aca="false">IF(G202="Stage 1",D202,I202)</f>
        <v>0.225713143994488</v>
      </c>
      <c r="K202" s="25" t="n">
        <f aca="false">J202*'Cover &amp; Assumptions'!$D$11*E202*'Cover &amp; Assumptions'!$E$11*C202</f>
        <v>4385.03216623889</v>
      </c>
      <c r="L202" s="25" t="n">
        <f aca="false">J202*'Cover &amp; Assumptions'!$D$12*E202*'Cover &amp; Assumptions'!$E$12*C202</f>
        <v>5430.38039162711</v>
      </c>
      <c r="M202" s="25" t="n">
        <f aca="false">J202*'Cover &amp; Assumptions'!$D$13*E202*'Cover &amp; Assumptions'!$E$13*C202</f>
        <v>9448.86188143118</v>
      </c>
      <c r="N202" s="25" t="n">
        <f aca="false">K202*'Cover &amp; Assumptions'!$C$11+L202*'Cover &amp; Assumptions'!$C$12+M202*'Cover &amp; Assumptions'!$C$13</f>
        <v>6225.93111900049</v>
      </c>
    </row>
    <row r="203" customFormat="false" ht="15" hidden="false" customHeight="false" outlineLevel="0" collapsed="false">
      <c r="A203" s="17" t="str">
        <f aca="false">Portfolio!A203</f>
        <v>UKSME-107447</v>
      </c>
      <c r="B203" s="17" t="str">
        <f aca="false">Portfolio!B203</f>
        <v>Technology</v>
      </c>
      <c r="C203" s="21" t="n">
        <f aca="false">Portfolio!D203</f>
        <v>329419</v>
      </c>
      <c r="D203" s="22" t="n">
        <f aca="false">Portfolio!G203</f>
        <v>0.184309983546509</v>
      </c>
      <c r="E203" s="23" t="n">
        <f aca="false">Portfolio!E203</f>
        <v>0.05</v>
      </c>
      <c r="F203" s="17" t="n">
        <f aca="false">Portfolio!F203</f>
        <v>0</v>
      </c>
      <c r="G203" s="16" t="str">
        <f aca="false">IF(OR(F203&gt;='Cover &amp; Assumptions'!$C$22,Portfolio!I203=1),"Stage 3",IF(OR(F203&gt;=30,D203&gt;'Cover &amp; Assumptions'!$C$21),"Stage 2","Stage 1"))</f>
        <v>Stage 2</v>
      </c>
      <c r="H203" s="16" t="n">
        <f aca="false">IF(G203="Stage 1",12,MIN(Portfolio!H203,60))</f>
        <v>60</v>
      </c>
      <c r="I203" s="24" t="n">
        <f aca="false">1-(1-D203)^(H203/12)</f>
        <v>0.638901458568145</v>
      </c>
      <c r="J203" s="24" t="n">
        <f aca="false">IF(G203="Stage 1",D203,I203)</f>
        <v>0.638901458568145</v>
      </c>
      <c r="K203" s="25" t="n">
        <f aca="false">J203*'Cover &amp; Assumptions'!$D$11*E203*'Cover &amp; Assumptions'!$E$11*C203</f>
        <v>8497.57603804491</v>
      </c>
      <c r="L203" s="25" t="n">
        <f aca="false">J203*'Cover &amp; Assumptions'!$D$12*E203*'Cover &amp; Assumptions'!$E$12*C203</f>
        <v>10523.313979003</v>
      </c>
      <c r="M203" s="25" t="n">
        <f aca="false">J203*'Cover &amp; Assumptions'!$D$13*E203*'Cover &amp; Assumptions'!$E$13*C203</f>
        <v>18310.5663234652</v>
      </c>
      <c r="N203" s="25" t="n">
        <f aca="false">K203*'Cover &amp; Assumptions'!$C$11+L203*'Cover &amp; Assumptions'!$C$12+M203*'Cover &amp; Assumptions'!$C$13</f>
        <v>12064.9794769269</v>
      </c>
    </row>
    <row r="204" customFormat="false" ht="15" hidden="false" customHeight="false" outlineLevel="0" collapsed="false">
      <c r="A204" s="17" t="str">
        <f aca="false">Portfolio!A204</f>
        <v>UKSME-100606</v>
      </c>
      <c r="B204" s="17" t="str">
        <f aca="false">Portfolio!B204</f>
        <v>Transport</v>
      </c>
      <c r="C204" s="21" t="n">
        <f aca="false">Portfolio!D204</f>
        <v>55156</v>
      </c>
      <c r="D204" s="22" t="n">
        <f aca="false">Portfolio!G204</f>
        <v>0.205198292061513</v>
      </c>
      <c r="E204" s="23" t="n">
        <f aca="false">Portfolio!E204</f>
        <v>0.86</v>
      </c>
      <c r="F204" s="17" t="n">
        <f aca="false">Portfolio!F204</f>
        <v>0</v>
      </c>
      <c r="G204" s="16" t="str">
        <f aca="false">IF(OR(F204&gt;='Cover &amp; Assumptions'!$C$22,Portfolio!I204=1),"Stage 3",IF(OR(F204&gt;=30,D204&gt;'Cover &amp; Assumptions'!$C$21),"Stage 2","Stage 1"))</f>
        <v>Stage 3</v>
      </c>
      <c r="H204" s="16" t="n">
        <f aca="false">IF(G204="Stage 1",12,MIN(Portfolio!H204,60))</f>
        <v>48</v>
      </c>
      <c r="I204" s="24" t="n">
        <f aca="false">1-(1-D204)^(H204/12)</f>
        <v>0.6009427855112</v>
      </c>
      <c r="J204" s="24" t="n">
        <f aca="false">IF(G204="Stage 1",D204,I204)</f>
        <v>0.6009427855112</v>
      </c>
      <c r="K204" s="25" t="n">
        <f aca="false">J204*'Cover &amp; Assumptions'!$D$11*E204*'Cover &amp; Assumptions'!$E$11*C204</f>
        <v>23017.962112818</v>
      </c>
      <c r="L204" s="25" t="n">
        <f aca="false">J204*'Cover &amp; Assumptions'!$D$12*E204*'Cover &amp; Assumptions'!$E$12*C204</f>
        <v>28505.2162387839</v>
      </c>
      <c r="M204" s="25" t="n">
        <f aca="false">J204*'Cover &amp; Assumptions'!$D$13*E204*'Cover &amp; Assumptions'!$E$13*C204</f>
        <v>49599.076255484</v>
      </c>
      <c r="N204" s="25" t="n">
        <f aca="false">K204*'Cover &amp; Assumptions'!$C$11+L204*'Cover &amp; Assumptions'!$C$12+M204*'Cover &amp; Assumptions'!$C$13</f>
        <v>32681.2304177658</v>
      </c>
    </row>
    <row r="205" customFormat="false" ht="15" hidden="false" customHeight="false" outlineLevel="0" collapsed="false">
      <c r="A205" s="17" t="str">
        <f aca="false">Portfolio!A205</f>
        <v>UKSME-104558</v>
      </c>
      <c r="B205" s="17" t="str">
        <f aca="false">Portfolio!B205</f>
        <v>Healthcare</v>
      </c>
      <c r="C205" s="21" t="n">
        <f aca="false">Portfolio!D205</f>
        <v>192516</v>
      </c>
      <c r="D205" s="22" t="n">
        <f aca="false">Portfolio!G205</f>
        <v>0.390133270088925</v>
      </c>
      <c r="E205" s="23" t="n">
        <f aca="false">Portfolio!E205</f>
        <v>0.29</v>
      </c>
      <c r="F205" s="17" t="n">
        <f aca="false">Portfolio!F205</f>
        <v>0</v>
      </c>
      <c r="G205" s="16" t="str">
        <f aca="false">IF(OR(F205&gt;='Cover &amp; Assumptions'!$C$22,Portfolio!I205=1),"Stage 3",IF(OR(F205&gt;=30,D205&gt;'Cover &amp; Assumptions'!$C$21),"Stage 2","Stage 1"))</f>
        <v>Stage 3</v>
      </c>
      <c r="H205" s="16" t="n">
        <f aca="false">IF(G205="Stage 1",12,MIN(Portfolio!H205,60))</f>
        <v>60</v>
      </c>
      <c r="I205" s="24" t="n">
        <f aca="false">1-(1-D205)^(H205/12)</f>
        <v>0.915632591417966</v>
      </c>
      <c r="J205" s="24" t="n">
        <f aca="false">IF(G205="Stage 1",D205,I205)</f>
        <v>0.915632591417966</v>
      </c>
      <c r="K205" s="25" t="n">
        <f aca="false">J205*'Cover &amp; Assumptions'!$D$11*E205*'Cover &amp; Assumptions'!$E$11*C205</f>
        <v>41278.9461455392</v>
      </c>
      <c r="L205" s="25" t="n">
        <f aca="false">J205*'Cover &amp; Assumptions'!$D$12*E205*'Cover &amp; Assumptions'!$E$12*C205</f>
        <v>51119.4379511321</v>
      </c>
      <c r="M205" s="25" t="n">
        <f aca="false">J205*'Cover &amp; Assumptions'!$D$13*E205*'Cover &amp; Assumptions'!$E$13*C205</f>
        <v>88947.8220349699</v>
      </c>
      <c r="N205" s="25" t="n">
        <f aca="false">K205*'Cover &amp; Assumptions'!$C$11+L205*'Cover &amp; Assumptions'!$C$12+M205*'Cover &amp; Assumptions'!$C$13</f>
        <v>58608.435610973</v>
      </c>
    </row>
    <row r="206" customFormat="false" ht="15" hidden="false" customHeight="false" outlineLevel="0" collapsed="false">
      <c r="A206" s="17" t="str">
        <f aca="false">Portfolio!A206</f>
        <v>UKSME-106902</v>
      </c>
      <c r="B206" s="17" t="str">
        <f aca="false">Portfolio!B206</f>
        <v>Wholesale</v>
      </c>
      <c r="C206" s="21" t="n">
        <f aca="false">Portfolio!D206</f>
        <v>22263</v>
      </c>
      <c r="D206" s="22" t="n">
        <f aca="false">Portfolio!G206</f>
        <v>0.122469669299737</v>
      </c>
      <c r="E206" s="23" t="n">
        <f aca="false">Portfolio!E206</f>
        <v>0.326</v>
      </c>
      <c r="F206" s="17" t="n">
        <f aca="false">Portfolio!F206</f>
        <v>0</v>
      </c>
      <c r="G206" s="16" t="str">
        <f aca="false">IF(OR(F206&gt;='Cover &amp; Assumptions'!$C$22,Portfolio!I206=1),"Stage 3",IF(OR(F206&gt;=30,D206&gt;'Cover &amp; Assumptions'!$C$21),"Stage 2","Stage 1"))</f>
        <v>Stage 1</v>
      </c>
      <c r="H206" s="16" t="n">
        <f aca="false">IF(G206="Stage 1",12,MIN(Portfolio!H206,60))</f>
        <v>12</v>
      </c>
      <c r="I206" s="24" t="n">
        <f aca="false">1-(1-D206)^(H206/12)</f>
        <v>0.122469669299736</v>
      </c>
      <c r="J206" s="24" t="n">
        <f aca="false">IF(G206="Stage 1",D206,I206)</f>
        <v>0.122469669299737</v>
      </c>
      <c r="K206" s="25" t="n">
        <f aca="false">J206*'Cover &amp; Assumptions'!$D$11*E206*'Cover &amp; Assumptions'!$E$11*C206</f>
        <v>717.748613974736</v>
      </c>
      <c r="L206" s="25" t="n">
        <f aca="false">J206*'Cover &amp; Assumptions'!$D$12*E206*'Cover &amp; Assumptions'!$E$12*C206</f>
        <v>888.852772724131</v>
      </c>
      <c r="M206" s="25" t="n">
        <f aca="false">J206*'Cover &amp; Assumptions'!$D$13*E206*'Cover &amp; Assumptions'!$E$13*C206</f>
        <v>1546.60382453999</v>
      </c>
      <c r="N206" s="25" t="n">
        <f aca="false">K206*'Cover &amp; Assumptions'!$C$11+L206*'Cover &amp; Assumptions'!$C$12+M206*'Cover &amp; Assumptions'!$C$13</f>
        <v>1019.06970392822</v>
      </c>
    </row>
    <row r="207" customFormat="false" ht="15" hidden="false" customHeight="false" outlineLevel="0" collapsed="false">
      <c r="A207" s="17" t="str">
        <f aca="false">Portfolio!A207</f>
        <v>UKSME-103648</v>
      </c>
      <c r="B207" s="17" t="str">
        <f aca="false">Portfolio!B207</f>
        <v>Retail</v>
      </c>
      <c r="C207" s="21" t="n">
        <f aca="false">Portfolio!D207</f>
        <v>227498</v>
      </c>
      <c r="D207" s="22" t="n">
        <f aca="false">Portfolio!G207</f>
        <v>0.0553529876905065</v>
      </c>
      <c r="E207" s="23" t="n">
        <f aca="false">Portfolio!E207</f>
        <v>0.409</v>
      </c>
      <c r="F207" s="17" t="n">
        <f aca="false">Portfolio!F207</f>
        <v>0</v>
      </c>
      <c r="G207" s="16" t="str">
        <f aca="false">IF(OR(F207&gt;='Cover &amp; Assumptions'!$C$22,Portfolio!I207=1),"Stage 3",IF(OR(F207&gt;=30,D207&gt;'Cover &amp; Assumptions'!$C$21),"Stage 2","Stage 1"))</f>
        <v>Stage 1</v>
      </c>
      <c r="H207" s="16" t="n">
        <f aca="false">IF(G207="Stage 1",12,MIN(Portfolio!H207,60))</f>
        <v>12</v>
      </c>
      <c r="I207" s="24" t="n">
        <f aca="false">1-(1-D207)^(H207/12)</f>
        <v>0.0553529876905065</v>
      </c>
      <c r="J207" s="24" t="n">
        <f aca="false">IF(G207="Stage 1",D207,I207)</f>
        <v>0.0553529876905065</v>
      </c>
      <c r="K207" s="25" t="n">
        <f aca="false">J207*'Cover &amp; Assumptions'!$D$11*E207*'Cover &amp; Assumptions'!$E$11*C207</f>
        <v>4158.95756353619</v>
      </c>
      <c r="L207" s="25" t="n">
        <f aca="false">J207*'Cover &amp; Assumptions'!$D$12*E207*'Cover &amp; Assumptions'!$E$12*C207</f>
        <v>5150.41184338847</v>
      </c>
      <c r="M207" s="25" t="n">
        <f aca="false">J207*'Cover &amp; Assumptions'!$D$13*E207*'Cover &amp; Assumptions'!$E$13*C207</f>
        <v>8961.71660749594</v>
      </c>
      <c r="N207" s="25" t="n">
        <f aca="false">K207*'Cover &amp; Assumptions'!$C$11+L207*'Cover &amp; Assumptions'!$C$12+M207*'Cover &amp; Assumptions'!$C$13</f>
        <v>5904.94717844488</v>
      </c>
    </row>
    <row r="208" customFormat="false" ht="15" hidden="false" customHeight="false" outlineLevel="0" collapsed="false">
      <c r="A208" s="17" t="str">
        <f aca="false">Portfolio!A208</f>
        <v>UKSME-104468</v>
      </c>
      <c r="B208" s="17" t="str">
        <f aca="false">Portfolio!B208</f>
        <v>Wholesale</v>
      </c>
      <c r="C208" s="21" t="n">
        <f aca="false">Portfolio!D208</f>
        <v>19870</v>
      </c>
      <c r="D208" s="22" t="n">
        <f aca="false">Portfolio!G208</f>
        <v>0.212632872897882</v>
      </c>
      <c r="E208" s="23" t="n">
        <f aca="false">Portfolio!E208</f>
        <v>0.258</v>
      </c>
      <c r="F208" s="17" t="n">
        <f aca="false">Portfolio!F208</f>
        <v>5</v>
      </c>
      <c r="G208" s="16" t="str">
        <f aca="false">IF(OR(F208&gt;='Cover &amp; Assumptions'!$C$22,Portfolio!I208=1),"Stage 3",IF(OR(F208&gt;=30,D208&gt;'Cover &amp; Assumptions'!$C$21),"Stage 2","Stage 1"))</f>
        <v>Stage 2</v>
      </c>
      <c r="H208" s="16" t="n">
        <f aca="false">IF(G208="Stage 1",12,MIN(Portfolio!H208,60))</f>
        <v>36</v>
      </c>
      <c r="I208" s="24" t="n">
        <f aca="false">1-(1-D208)^(H208/12)</f>
        <v>0.511874117291151</v>
      </c>
      <c r="J208" s="24" t="n">
        <f aca="false">IF(G208="Stage 1",D208,I208)</f>
        <v>0.511874117291151</v>
      </c>
      <c r="K208" s="25" t="n">
        <f aca="false">J208*'Cover &amp; Assumptions'!$D$11*E208*'Cover &amp; Assumptions'!$E$11*C208</f>
        <v>2118.96251626768</v>
      </c>
      <c r="L208" s="25" t="n">
        <f aca="false">J208*'Cover &amp; Assumptions'!$D$12*E208*'Cover &amp; Assumptions'!$E$12*C208</f>
        <v>2624.10218732839</v>
      </c>
      <c r="M208" s="25" t="n">
        <f aca="false">J208*'Cover &amp; Assumptions'!$D$13*E208*'Cover &amp; Assumptions'!$E$13*C208</f>
        <v>4565.9378059514</v>
      </c>
      <c r="N208" s="25" t="n">
        <f aca="false">K208*'Cover &amp; Assumptions'!$C$11+L208*'Cover &amp; Assumptions'!$C$12+M208*'Cover &amp; Assumptions'!$C$13</f>
        <v>3008.533157772</v>
      </c>
    </row>
    <row r="209" customFormat="false" ht="15" hidden="false" customHeight="false" outlineLevel="0" collapsed="false">
      <c r="A209" s="17" t="str">
        <f aca="false">Portfolio!A209</f>
        <v>UKSME-109695</v>
      </c>
      <c r="B209" s="17" t="str">
        <f aca="false">Portfolio!B209</f>
        <v>Real Estate</v>
      </c>
      <c r="C209" s="21" t="n">
        <f aca="false">Portfolio!D209</f>
        <v>61823</v>
      </c>
      <c r="D209" s="22" t="n">
        <f aca="false">Portfolio!G209</f>
        <v>0.229028813767395</v>
      </c>
      <c r="E209" s="23" t="n">
        <f aca="false">Portfolio!E209</f>
        <v>0.788</v>
      </c>
      <c r="F209" s="17" t="n">
        <f aca="false">Portfolio!F209</f>
        <v>5</v>
      </c>
      <c r="G209" s="16" t="str">
        <f aca="false">IF(OR(F209&gt;='Cover &amp; Assumptions'!$C$22,Portfolio!I209=1),"Stage 3",IF(OR(F209&gt;=30,D209&gt;'Cover &amp; Assumptions'!$C$21),"Stage 2","Stage 1"))</f>
        <v>Stage 2</v>
      </c>
      <c r="H209" s="16" t="n">
        <f aca="false">IF(G209="Stage 1",12,MIN(Portfolio!H209,60))</f>
        <v>48</v>
      </c>
      <c r="I209" s="24" t="n">
        <f aca="false">1-(1-D209)^(H209/12)</f>
        <v>0.646692717571152</v>
      </c>
      <c r="J209" s="24" t="n">
        <f aca="false">IF(G209="Stage 1",D209,I209)</f>
        <v>0.646692717571152</v>
      </c>
      <c r="K209" s="25" t="n">
        <f aca="false">J209*'Cover &amp; Assumptions'!$D$11*E209*'Cover &amp; Assumptions'!$E$11*C209</f>
        <v>25439.9816966656</v>
      </c>
      <c r="L209" s="25" t="n">
        <f aca="false">J209*'Cover &amp; Assumptions'!$D$12*E209*'Cover &amp; Assumptions'!$E$12*C209</f>
        <v>31504.6212961803</v>
      </c>
      <c r="M209" s="25" t="n">
        <f aca="false">J209*'Cover &amp; Assumptions'!$D$13*E209*'Cover &amp; Assumptions'!$E$13*C209</f>
        <v>54818.0410553537</v>
      </c>
      <c r="N209" s="25" t="n">
        <f aca="false">K209*'Cover &amp; Assumptions'!$C$11+L209*'Cover &amp; Assumptions'!$C$12+M209*'Cover &amp; Assumptions'!$C$13</f>
        <v>36120.0483160707</v>
      </c>
    </row>
    <row r="210" customFormat="false" ht="15" hidden="false" customHeight="false" outlineLevel="0" collapsed="false">
      <c r="A210" s="17" t="str">
        <f aca="false">Portfolio!A210</f>
        <v>UKSME-102199</v>
      </c>
      <c r="B210" s="17" t="str">
        <f aca="false">Portfolio!B210</f>
        <v>Healthcare</v>
      </c>
      <c r="C210" s="21" t="n">
        <f aca="false">Portfolio!D210</f>
        <v>133069</v>
      </c>
      <c r="D210" s="22" t="n">
        <f aca="false">Portfolio!G210</f>
        <v>0.283005524896931</v>
      </c>
      <c r="E210" s="23" t="n">
        <f aca="false">Portfolio!E210</f>
        <v>0.546</v>
      </c>
      <c r="F210" s="17" t="n">
        <f aca="false">Portfolio!F210</f>
        <v>0</v>
      </c>
      <c r="G210" s="16" t="str">
        <f aca="false">IF(OR(F210&gt;='Cover &amp; Assumptions'!$C$22,Portfolio!I210=1),"Stage 3",IF(OR(F210&gt;=30,D210&gt;'Cover &amp; Assumptions'!$C$21),"Stage 2","Stage 1"))</f>
        <v>Stage 2</v>
      </c>
      <c r="H210" s="16" t="n">
        <f aca="false">IF(G210="Stage 1",12,MIN(Portfolio!H210,60))</f>
        <v>60</v>
      </c>
      <c r="I210" s="24" t="n">
        <f aca="false">1-(1-D210)^(H210/12)</f>
        <v>0.810513163250116</v>
      </c>
      <c r="J210" s="24" t="n">
        <f aca="false">IF(G210="Stage 1",D210,I210)</f>
        <v>0.810513163250116</v>
      </c>
      <c r="K210" s="25" t="n">
        <f aca="false">J210*'Cover &amp; Assumptions'!$D$11*E210*'Cover &amp; Assumptions'!$E$11*C210</f>
        <v>47552.3669806609</v>
      </c>
      <c r="L210" s="25" t="n">
        <f aca="false">J210*'Cover &amp; Assumptions'!$D$12*E210*'Cover &amp; Assumptions'!$E$12*C210</f>
        <v>58888.3801618092</v>
      </c>
      <c r="M210" s="25" t="n">
        <f aca="false">J210*'Cover &amp; Assumptions'!$D$13*E210*'Cover &amp; Assumptions'!$E$13*C210</f>
        <v>102465.781481548</v>
      </c>
      <c r="N210" s="25" t="n">
        <f aca="false">K210*'Cover &amp; Assumptions'!$C$11+L210*'Cover &amp; Assumptions'!$C$12+M210*'Cover &amp; Assumptions'!$C$13</f>
        <v>67515.5278555142</v>
      </c>
    </row>
    <row r="211" customFormat="false" ht="15" hidden="false" customHeight="false" outlineLevel="0" collapsed="false">
      <c r="A211" s="17" t="str">
        <f aca="false">Portfolio!A211</f>
        <v>UKSME-100863</v>
      </c>
      <c r="B211" s="17" t="str">
        <f aca="false">Portfolio!B211</f>
        <v>Construction</v>
      </c>
      <c r="C211" s="21" t="n">
        <f aca="false">Portfolio!D211</f>
        <v>22795</v>
      </c>
      <c r="D211" s="22" t="n">
        <f aca="false">Portfolio!G211</f>
        <v>0.212902334162031</v>
      </c>
      <c r="E211" s="23" t="n">
        <f aca="false">Portfolio!E211</f>
        <v>0.397</v>
      </c>
      <c r="F211" s="17" t="n">
        <f aca="false">Portfolio!F211</f>
        <v>0</v>
      </c>
      <c r="G211" s="16" t="str">
        <f aca="false">IF(OR(F211&gt;='Cover &amp; Assumptions'!$C$22,Portfolio!I211=1),"Stage 3",IF(OR(F211&gt;=30,D211&gt;'Cover &amp; Assumptions'!$C$21),"Stage 2","Stage 1"))</f>
        <v>Stage 2</v>
      </c>
      <c r="H211" s="16" t="n">
        <f aca="false">IF(G211="Stage 1",12,MIN(Portfolio!H211,60))</f>
        <v>60</v>
      </c>
      <c r="I211" s="24" t="n">
        <f aca="false">1-(1-D211)^(H211/12)</f>
        <v>0.697905288579451</v>
      </c>
      <c r="J211" s="24" t="n">
        <f aca="false">IF(G211="Stage 1",D211,I211)</f>
        <v>0.697905288579451</v>
      </c>
      <c r="K211" s="25" t="n">
        <f aca="false">J211*'Cover &amp; Assumptions'!$D$11*E211*'Cover &amp; Assumptions'!$E$11*C211</f>
        <v>5099.98764074715</v>
      </c>
      <c r="L211" s="25" t="n">
        <f aca="false">J211*'Cover &amp; Assumptions'!$D$12*E211*'Cover &amp; Assumptions'!$E$12*C211</f>
        <v>6315.77416810793</v>
      </c>
      <c r="M211" s="25" t="n">
        <f aca="false">J211*'Cover &amp; Assumptions'!$D$13*E211*'Cover &amp; Assumptions'!$E$13*C211</f>
        <v>10989.4470525078</v>
      </c>
      <c r="N211" s="25" t="n">
        <f aca="false">K211*'Cover &amp; Assumptions'!$C$11+L211*'Cover &amp; Assumptions'!$C$12+M211*'Cover &amp; Assumptions'!$C$13</f>
        <v>7241.03508373574</v>
      </c>
    </row>
    <row r="212" customFormat="false" ht="15" hidden="false" customHeight="false" outlineLevel="0" collapsed="false">
      <c r="A212" s="17" t="str">
        <f aca="false">Portfolio!A212</f>
        <v>UKSME-105704</v>
      </c>
      <c r="B212" s="17" t="str">
        <f aca="false">Portfolio!B212</f>
        <v>Hospitality</v>
      </c>
      <c r="C212" s="21" t="n">
        <f aca="false">Portfolio!D212</f>
        <v>25674</v>
      </c>
      <c r="D212" s="22" t="n">
        <f aca="false">Portfolio!G212</f>
        <v>0.134714297273463</v>
      </c>
      <c r="E212" s="23" t="n">
        <f aca="false">Portfolio!E212</f>
        <v>0.301</v>
      </c>
      <c r="F212" s="17" t="n">
        <f aca="false">Portfolio!F212</f>
        <v>0</v>
      </c>
      <c r="G212" s="16" t="str">
        <f aca="false">IF(OR(F212&gt;='Cover &amp; Assumptions'!$C$22,Portfolio!I212=1),"Stage 3",IF(OR(F212&gt;=30,D212&gt;'Cover &amp; Assumptions'!$C$21),"Stage 2","Stage 1"))</f>
        <v>Stage 1</v>
      </c>
      <c r="H212" s="16" t="n">
        <f aca="false">IF(G212="Stage 1",12,MIN(Portfolio!H212,60))</f>
        <v>12</v>
      </c>
      <c r="I212" s="24" t="n">
        <f aca="false">1-(1-D212)^(H212/12)</f>
        <v>0.134714297273463</v>
      </c>
      <c r="J212" s="24" t="n">
        <f aca="false">IF(G212="Stage 1",D212,I212)</f>
        <v>0.134714297273463</v>
      </c>
      <c r="K212" s="25" t="n">
        <f aca="false">J212*'Cover &amp; Assumptions'!$D$11*E212*'Cover &amp; Assumptions'!$E$11*C212</f>
        <v>840.652005627253</v>
      </c>
      <c r="L212" s="25" t="n">
        <f aca="false">J212*'Cover &amp; Assumptions'!$D$12*E212*'Cover &amp; Assumptions'!$E$12*C212</f>
        <v>1041.05511532787</v>
      </c>
      <c r="M212" s="25" t="n">
        <f aca="false">J212*'Cover &amp; Assumptions'!$D$13*E212*'Cover &amp; Assumptions'!$E$13*C212</f>
        <v>1811.43590067049</v>
      </c>
      <c r="N212" s="25" t="n">
        <f aca="false">K212*'Cover &amp; Assumptions'!$C$11+L212*'Cover &amp; Assumptions'!$C$12+M212*'Cover &amp; Assumptions'!$C$13</f>
        <v>1193.5696897234</v>
      </c>
    </row>
    <row r="213" customFormat="false" ht="15" hidden="false" customHeight="false" outlineLevel="0" collapsed="false">
      <c r="A213" s="17" t="str">
        <f aca="false">Portfolio!A213</f>
        <v>UKSME-105894</v>
      </c>
      <c r="B213" s="17" t="str">
        <f aca="false">Portfolio!B213</f>
        <v>Manufacturing</v>
      </c>
      <c r="C213" s="21" t="n">
        <f aca="false">Portfolio!D213</f>
        <v>484159</v>
      </c>
      <c r="D213" s="22" t="n">
        <f aca="false">Portfolio!G213</f>
        <v>0.142239527177466</v>
      </c>
      <c r="E213" s="23" t="n">
        <f aca="false">Portfolio!E213</f>
        <v>0.309</v>
      </c>
      <c r="F213" s="17" t="n">
        <f aca="false">Portfolio!F213</f>
        <v>0</v>
      </c>
      <c r="G213" s="16" t="str">
        <f aca="false">IF(OR(F213&gt;='Cover &amp; Assumptions'!$C$22,Portfolio!I213=1),"Stage 3",IF(OR(F213&gt;=30,D213&gt;'Cover &amp; Assumptions'!$C$21),"Stage 2","Stage 1"))</f>
        <v>Stage 1</v>
      </c>
      <c r="H213" s="16" t="n">
        <f aca="false">IF(G213="Stage 1",12,MIN(Portfolio!H213,60))</f>
        <v>12</v>
      </c>
      <c r="I213" s="24" t="n">
        <f aca="false">1-(1-D213)^(H213/12)</f>
        <v>0.142239527177466</v>
      </c>
      <c r="J213" s="24" t="n">
        <f aca="false">IF(G213="Stage 1",D213,I213)</f>
        <v>0.142239527177466</v>
      </c>
      <c r="K213" s="25" t="n">
        <f aca="false">J213*'Cover &amp; Assumptions'!$D$11*E213*'Cover &amp; Assumptions'!$E$11*C213</f>
        <v>17183.408700636</v>
      </c>
      <c r="L213" s="25" t="n">
        <f aca="false">J213*'Cover &amp; Assumptions'!$D$12*E213*'Cover &amp; Assumptions'!$E$12*C213</f>
        <v>21279.7630967629</v>
      </c>
      <c r="M213" s="25" t="n">
        <f aca="false">J213*'Cover &amp; Assumptions'!$D$13*E213*'Cover &amp; Assumptions'!$E$13*C213</f>
        <v>37026.7877883674</v>
      </c>
      <c r="N213" s="25" t="n">
        <f aca="false">K213*'Cover &amp; Assumptions'!$C$11+L213*'Cover &amp; Assumptions'!$C$12+M213*'Cover &amp; Assumptions'!$C$13</f>
        <v>24397.2483904386</v>
      </c>
    </row>
    <row r="214" customFormat="false" ht="15" hidden="false" customHeight="false" outlineLevel="0" collapsed="false">
      <c r="A214" s="17" t="str">
        <f aca="false">Portfolio!A214</f>
        <v>UKSME-107394</v>
      </c>
      <c r="B214" s="17" t="str">
        <f aca="false">Portfolio!B214</f>
        <v>Real Estate</v>
      </c>
      <c r="C214" s="21" t="n">
        <f aca="false">Portfolio!D214</f>
        <v>38635</v>
      </c>
      <c r="D214" s="22" t="n">
        <f aca="false">Portfolio!G214</f>
        <v>0.162072485303334</v>
      </c>
      <c r="E214" s="23" t="n">
        <f aca="false">Portfolio!E214</f>
        <v>0.346</v>
      </c>
      <c r="F214" s="17" t="n">
        <f aca="false">Portfolio!F214</f>
        <v>0</v>
      </c>
      <c r="G214" s="16" t="str">
        <f aca="false">IF(OR(F214&gt;='Cover &amp; Assumptions'!$C$22,Portfolio!I214=1),"Stage 3",IF(OR(F214&gt;=30,D214&gt;'Cover &amp; Assumptions'!$C$21),"Stage 2","Stage 1"))</f>
        <v>Stage 2</v>
      </c>
      <c r="H214" s="16" t="n">
        <f aca="false">IF(G214="Stage 1",12,MIN(Portfolio!H214,60))</f>
        <v>48</v>
      </c>
      <c r="I214" s="24" t="n">
        <f aca="false">1-(1-D214)^(H214/12)</f>
        <v>0.50702396706931</v>
      </c>
      <c r="J214" s="24" t="n">
        <f aca="false">IF(G214="Stage 1",D214,I214)</f>
        <v>0.50702396706931</v>
      </c>
      <c r="K214" s="25" t="n">
        <f aca="false">J214*'Cover &amp; Assumptions'!$D$11*E214*'Cover &amp; Assumptions'!$E$11*C214</f>
        <v>5473.03260402691</v>
      </c>
      <c r="L214" s="25" t="n">
        <f aca="false">J214*'Cover &amp; Assumptions'!$D$12*E214*'Cover &amp; Assumptions'!$E$12*C214</f>
        <v>6777.74935483208</v>
      </c>
      <c r="M214" s="25" t="n">
        <f aca="false">J214*'Cover &amp; Assumptions'!$D$13*E214*'Cover &amp; Assumptions'!$E$13*C214</f>
        <v>11793.2838774078</v>
      </c>
      <c r="N214" s="25" t="n">
        <f aca="false">K214*'Cover &amp; Assumptions'!$C$11+L214*'Cover &amp; Assumptions'!$C$12+M214*'Cover &amp; Assumptions'!$C$13</f>
        <v>7770.68963531498</v>
      </c>
    </row>
    <row r="215" customFormat="false" ht="15" hidden="false" customHeight="false" outlineLevel="0" collapsed="false">
      <c r="A215" s="17" t="str">
        <f aca="false">Portfolio!A215</f>
        <v>UKSME-105253</v>
      </c>
      <c r="B215" s="17" t="str">
        <f aca="false">Portfolio!B215</f>
        <v>Professional Services</v>
      </c>
      <c r="C215" s="21" t="n">
        <f aca="false">Portfolio!D215</f>
        <v>45646</v>
      </c>
      <c r="D215" s="22" t="n">
        <f aca="false">Portfolio!G215</f>
        <v>0.149752215156103</v>
      </c>
      <c r="E215" s="23" t="n">
        <f aca="false">Portfolio!E215</f>
        <v>0.323</v>
      </c>
      <c r="F215" s="17" t="n">
        <f aca="false">Portfolio!F215</f>
        <v>0</v>
      </c>
      <c r="G215" s="16" t="str">
        <f aca="false">IF(OR(F215&gt;='Cover &amp; Assumptions'!$C$22,Portfolio!I215=1),"Stage 3",IF(OR(F215&gt;=30,D215&gt;'Cover &amp; Assumptions'!$C$21),"Stage 2","Stage 1"))</f>
        <v>Stage 1</v>
      </c>
      <c r="H215" s="16" t="n">
        <f aca="false">IF(G215="Stage 1",12,MIN(Portfolio!H215,60))</f>
        <v>12</v>
      </c>
      <c r="I215" s="24" t="n">
        <f aca="false">1-(1-D215)^(H215/12)</f>
        <v>0.149752215156103</v>
      </c>
      <c r="J215" s="24" t="n">
        <f aca="false">IF(G215="Stage 1",D215,I215)</f>
        <v>0.149752215156103</v>
      </c>
      <c r="K215" s="25" t="n">
        <f aca="false">J215*'Cover &amp; Assumptions'!$D$11*E215*'Cover &amp; Assumptions'!$E$11*C215</f>
        <v>1782.87557184073</v>
      </c>
      <c r="L215" s="25" t="n">
        <f aca="false">J215*'Cover &amp; Assumptions'!$D$12*E215*'Cover &amp; Assumptions'!$E$12*C215</f>
        <v>2207.895445004</v>
      </c>
      <c r="M215" s="25" t="n">
        <f aca="false">J215*'Cover &amp; Assumptions'!$D$13*E215*'Cover &amp; Assumptions'!$E$13*C215</f>
        <v>3841.73807430696</v>
      </c>
      <c r="N215" s="25" t="n">
        <f aca="false">K215*'Cover &amp; Assumptions'!$C$11+L215*'Cover &amp; Assumptions'!$C$12+M215*'Cover &amp; Assumptions'!$C$13</f>
        <v>2531.35212769709</v>
      </c>
    </row>
    <row r="216" customFormat="false" ht="15" hidden="false" customHeight="false" outlineLevel="0" collapsed="false">
      <c r="A216" s="17" t="str">
        <f aca="false">Portfolio!A216</f>
        <v>UKSME-107545</v>
      </c>
      <c r="B216" s="17" t="str">
        <f aca="false">Portfolio!B216</f>
        <v>Manufacturing</v>
      </c>
      <c r="C216" s="21" t="n">
        <f aca="false">Portfolio!D216</f>
        <v>64535</v>
      </c>
      <c r="D216" s="22" t="n">
        <f aca="false">Portfolio!G216</f>
        <v>0.0397549083117652</v>
      </c>
      <c r="E216" s="23" t="n">
        <f aca="false">Portfolio!E216</f>
        <v>0.249</v>
      </c>
      <c r="F216" s="17" t="n">
        <f aca="false">Portfolio!F216</f>
        <v>0</v>
      </c>
      <c r="G216" s="16" t="str">
        <f aca="false">IF(OR(F216&gt;='Cover &amp; Assumptions'!$C$22,Portfolio!I216=1),"Stage 3",IF(OR(F216&gt;=30,D216&gt;'Cover &amp; Assumptions'!$C$21),"Stage 2","Stage 1"))</f>
        <v>Stage 1</v>
      </c>
      <c r="H216" s="16" t="n">
        <f aca="false">IF(G216="Stage 1",12,MIN(Portfolio!H216,60))</f>
        <v>12</v>
      </c>
      <c r="I216" s="24" t="n">
        <f aca="false">1-(1-D216)^(H216/12)</f>
        <v>0.0397549083117652</v>
      </c>
      <c r="J216" s="24" t="n">
        <f aca="false">IF(G216="Stage 1",D216,I216)</f>
        <v>0.0397549083117652</v>
      </c>
      <c r="K216" s="25" t="n">
        <f aca="false">J216*'Cover &amp; Assumptions'!$D$11*E216*'Cover &amp; Assumptions'!$E$11*C216</f>
        <v>515.855361440886</v>
      </c>
      <c r="L216" s="25" t="n">
        <f aca="false">J216*'Cover &amp; Assumptions'!$D$12*E216*'Cover &amp; Assumptions'!$E$12*C216</f>
        <v>638.830168967042</v>
      </c>
      <c r="M216" s="25" t="n">
        <f aca="false">J216*'Cover &amp; Assumptions'!$D$13*E216*'Cover &amp; Assumptions'!$E$13*C216</f>
        <v>1111.56449400265</v>
      </c>
      <c r="N216" s="25" t="n">
        <f aca="false">K216*'Cover &amp; Assumptions'!$C$11+L216*'Cover &amp; Assumptions'!$C$12+M216*'Cover &amp; Assumptions'!$C$13</f>
        <v>732.418788720714</v>
      </c>
    </row>
    <row r="217" customFormat="false" ht="15" hidden="false" customHeight="false" outlineLevel="0" collapsed="false">
      <c r="A217" s="17" t="str">
        <f aca="false">Portfolio!A217</f>
        <v>UKSME-104332</v>
      </c>
      <c r="B217" s="17" t="str">
        <f aca="false">Portfolio!B217</f>
        <v>Professional Services</v>
      </c>
      <c r="C217" s="21" t="n">
        <f aca="false">Portfolio!D217</f>
        <v>71857</v>
      </c>
      <c r="D217" s="22" t="n">
        <f aca="false">Portfolio!G217</f>
        <v>0.153519676306956</v>
      </c>
      <c r="E217" s="23" t="n">
        <f aca="false">Portfolio!E217</f>
        <v>0.363</v>
      </c>
      <c r="F217" s="17" t="n">
        <f aca="false">Portfolio!F217</f>
        <v>0</v>
      </c>
      <c r="G217" s="16" t="str">
        <f aca="false">IF(OR(F217&gt;='Cover &amp; Assumptions'!$C$22,Portfolio!I217=1),"Stage 3",IF(OR(F217&gt;=30,D217&gt;'Cover &amp; Assumptions'!$C$21),"Stage 2","Stage 1"))</f>
        <v>Stage 2</v>
      </c>
      <c r="H217" s="16" t="n">
        <f aca="false">IF(G217="Stage 1",12,MIN(Portfolio!H217,60))</f>
        <v>60</v>
      </c>
      <c r="I217" s="24" t="n">
        <f aca="false">1-(1-D217)^(H217/12)</f>
        <v>0.565405388475112</v>
      </c>
      <c r="J217" s="24" t="n">
        <f aca="false">IF(G217="Stage 1",D217,I217)</f>
        <v>0.565405388475112</v>
      </c>
      <c r="K217" s="25" t="n">
        <f aca="false">J217*'Cover &amp; Assumptions'!$D$11*E217*'Cover &amp; Assumptions'!$E$11*C217</f>
        <v>11909.0791259367</v>
      </c>
      <c r="L217" s="25" t="n">
        <f aca="false">J217*'Cover &amp; Assumptions'!$D$12*E217*'Cover &amp; Assumptions'!$E$12*C217</f>
        <v>14748.0856048752</v>
      </c>
      <c r="M217" s="25" t="n">
        <f aca="false">J217*'Cover &amp; Assumptions'!$D$13*E217*'Cover &amp; Assumptions'!$E$13*C217</f>
        <v>25661.6689524828</v>
      </c>
      <c r="N217" s="25" t="n">
        <f aca="false">K217*'Cover &amp; Assumptions'!$C$11+L217*'Cover &amp; Assumptions'!$C$12+M217*'Cover &amp; Assumptions'!$C$13</f>
        <v>16908.6801459894</v>
      </c>
    </row>
    <row r="218" customFormat="false" ht="15" hidden="false" customHeight="false" outlineLevel="0" collapsed="false">
      <c r="A218" s="17" t="str">
        <f aca="false">Portfolio!A218</f>
        <v>UKSME-101297</v>
      </c>
      <c r="B218" s="17" t="str">
        <f aca="false">Portfolio!B218</f>
        <v>Real Estate</v>
      </c>
      <c r="C218" s="21" t="n">
        <f aca="false">Portfolio!D218</f>
        <v>53471</v>
      </c>
      <c r="D218" s="22" t="n">
        <f aca="false">Portfolio!G218</f>
        <v>0.177969478670764</v>
      </c>
      <c r="E218" s="23" t="n">
        <f aca="false">Portfolio!E218</f>
        <v>0.163</v>
      </c>
      <c r="F218" s="17" t="n">
        <f aca="false">Portfolio!F218</f>
        <v>0</v>
      </c>
      <c r="G218" s="16" t="str">
        <f aca="false">IF(OR(F218&gt;='Cover &amp; Assumptions'!$C$22,Portfolio!I218=1),"Stage 3",IF(OR(F218&gt;=30,D218&gt;'Cover &amp; Assumptions'!$C$21),"Stage 2","Stage 1"))</f>
        <v>Stage 2</v>
      </c>
      <c r="H218" s="16" t="n">
        <f aca="false">IF(G218="Stage 1",12,MIN(Portfolio!H218,60))</f>
        <v>60</v>
      </c>
      <c r="I218" s="24" t="n">
        <f aca="false">1-(1-D218)^(H218/12)</f>
        <v>0.624647153056685</v>
      </c>
      <c r="J218" s="24" t="n">
        <f aca="false">IF(G218="Stage 1",D218,I218)</f>
        <v>0.624647153056685</v>
      </c>
      <c r="K218" s="25" t="n">
        <f aca="false">J218*'Cover &amp; Assumptions'!$D$11*E218*'Cover &amp; Assumptions'!$E$11*C218</f>
        <v>4396.25835384419</v>
      </c>
      <c r="L218" s="25" t="n">
        <f aca="false">J218*'Cover &amp; Assumptions'!$D$12*E218*'Cover &amp; Assumptions'!$E$12*C218</f>
        <v>5444.28279113832</v>
      </c>
      <c r="M218" s="25" t="n">
        <f aca="false">J218*'Cover &amp; Assumptions'!$D$13*E218*'Cover &amp; Assumptions'!$E$13*C218</f>
        <v>9473.05205658068</v>
      </c>
      <c r="N218" s="25" t="n">
        <f aca="false">K218*'Cover &amp; Assumptions'!$C$11+L218*'Cover &amp; Assumptions'!$C$12+M218*'Cover &amp; Assumptions'!$C$13</f>
        <v>6241.87022004008</v>
      </c>
    </row>
    <row r="219" customFormat="false" ht="15" hidden="false" customHeight="false" outlineLevel="0" collapsed="false">
      <c r="A219" s="17" t="str">
        <f aca="false">Portfolio!A219</f>
        <v>UKSME-103717</v>
      </c>
      <c r="B219" s="17" t="str">
        <f aca="false">Portfolio!B219</f>
        <v>Transport</v>
      </c>
      <c r="C219" s="21" t="n">
        <f aca="false">Portfolio!D219</f>
        <v>80737</v>
      </c>
      <c r="D219" s="22" t="n">
        <f aca="false">Portfolio!G219</f>
        <v>0.125226824251408</v>
      </c>
      <c r="E219" s="23" t="n">
        <f aca="false">Portfolio!E219</f>
        <v>0.099</v>
      </c>
      <c r="F219" s="17" t="n">
        <f aca="false">Portfolio!F219</f>
        <v>0</v>
      </c>
      <c r="G219" s="16" t="str">
        <f aca="false">IF(OR(F219&gt;='Cover &amp; Assumptions'!$C$22,Portfolio!I219=1),"Stage 3",IF(OR(F219&gt;=30,D219&gt;'Cover &amp; Assumptions'!$C$21),"Stage 2","Stage 1"))</f>
        <v>Stage 1</v>
      </c>
      <c r="H219" s="16" t="n">
        <f aca="false">IF(G219="Stage 1",12,MIN(Portfolio!H219,60))</f>
        <v>12</v>
      </c>
      <c r="I219" s="24" t="n">
        <f aca="false">1-(1-D219)^(H219/12)</f>
        <v>0.125226824251408</v>
      </c>
      <c r="J219" s="24" t="n">
        <f aca="false">IF(G219="Stage 1",D219,I219)</f>
        <v>0.125226824251408</v>
      </c>
      <c r="K219" s="25" t="n">
        <f aca="false">J219*'Cover &amp; Assumptions'!$D$11*E219*'Cover &amp; Assumptions'!$E$11*C219</f>
        <v>808.253698575574</v>
      </c>
      <c r="L219" s="25" t="n">
        <f aca="false">J219*'Cover &amp; Assumptions'!$D$12*E219*'Cover &amp; Assumptions'!$E$12*C219</f>
        <v>1000.93337284901</v>
      </c>
      <c r="M219" s="25" t="n">
        <f aca="false">J219*'Cover &amp; Assumptions'!$D$13*E219*'Cover &amp; Assumptions'!$E$13*C219</f>
        <v>1741.62406875727</v>
      </c>
      <c r="N219" s="25" t="n">
        <f aca="false">K219*'Cover &amp; Assumptions'!$C$11+L219*'Cover &amp; Assumptions'!$C$12+M219*'Cover &amp; Assumptions'!$C$13</f>
        <v>1147.57011197139</v>
      </c>
    </row>
    <row r="220" customFormat="false" ht="15" hidden="false" customHeight="false" outlineLevel="0" collapsed="false">
      <c r="A220" s="17" t="str">
        <f aca="false">Portfolio!A220</f>
        <v>UKSME-103340</v>
      </c>
      <c r="B220" s="17" t="str">
        <f aca="false">Portfolio!B220</f>
        <v>Retail</v>
      </c>
      <c r="C220" s="21" t="n">
        <f aca="false">Portfolio!D220</f>
        <v>173059</v>
      </c>
      <c r="D220" s="22" t="n">
        <f aca="false">Portfolio!G220</f>
        <v>0.40379679046041</v>
      </c>
      <c r="E220" s="23" t="n">
        <f aca="false">Portfolio!E220</f>
        <v>0.776</v>
      </c>
      <c r="F220" s="17" t="n">
        <f aca="false">Portfolio!F220</f>
        <v>0</v>
      </c>
      <c r="G220" s="16" t="str">
        <f aca="false">IF(OR(F220&gt;='Cover &amp; Assumptions'!$C$22,Portfolio!I220=1),"Stage 3",IF(OR(F220&gt;=30,D220&gt;'Cover &amp; Assumptions'!$C$21),"Stage 2","Stage 1"))</f>
        <v>Stage 3</v>
      </c>
      <c r="H220" s="16" t="n">
        <f aca="false">IF(G220="Stage 1",12,MIN(Portfolio!H220,60))</f>
        <v>48</v>
      </c>
      <c r="I220" s="24" t="n">
        <f aca="false">1-(1-D220)^(H220/12)</f>
        <v>0.873649420374928</v>
      </c>
      <c r="J220" s="24" t="n">
        <f aca="false">IF(G220="Stage 1",D220,I220)</f>
        <v>0.873649420374928</v>
      </c>
      <c r="K220" s="25" t="n">
        <f aca="false">J220*'Cover &amp; Assumptions'!$D$11*E220*'Cover &amp; Assumptions'!$E$11*C220</f>
        <v>94740.4918903813</v>
      </c>
      <c r="L220" s="25" t="n">
        <f aca="false">J220*'Cover &amp; Assumptions'!$D$12*E220*'Cover &amp; Assumptions'!$E$12*C220</f>
        <v>117325.686551556</v>
      </c>
      <c r="M220" s="25" t="n">
        <f aca="false">J220*'Cover &amp; Assumptions'!$D$13*E220*'Cover &amp; Assumptions'!$E$13*C220</f>
        <v>204146.694599707</v>
      </c>
      <c r="N220" s="25" t="n">
        <f aca="false">K220*'Cover &amp; Assumptions'!$C$11+L220*'Cover &amp; Assumptions'!$C$12+M220*'Cover &amp; Assumptions'!$C$13</f>
        <v>134513.899631359</v>
      </c>
    </row>
    <row r="221" customFormat="false" ht="15" hidden="false" customHeight="false" outlineLevel="0" collapsed="false">
      <c r="A221" s="17" t="str">
        <f aca="false">Portfolio!A221</f>
        <v>UKSME-108908</v>
      </c>
      <c r="B221" s="17" t="str">
        <f aca="false">Portfolio!B221</f>
        <v>Professional Services</v>
      </c>
      <c r="C221" s="21" t="n">
        <f aca="false">Portfolio!D221</f>
        <v>34207</v>
      </c>
      <c r="D221" s="22" t="n">
        <f aca="false">Portfolio!G221</f>
        <v>0.001</v>
      </c>
      <c r="E221" s="23" t="n">
        <f aca="false">Portfolio!E221</f>
        <v>0.92</v>
      </c>
      <c r="F221" s="17" t="n">
        <f aca="false">Portfolio!F221</f>
        <v>0</v>
      </c>
      <c r="G221" s="16" t="str">
        <f aca="false">IF(OR(F221&gt;='Cover &amp; Assumptions'!$C$22,Portfolio!I221=1),"Stage 3",IF(OR(F221&gt;=30,D221&gt;'Cover &amp; Assumptions'!$C$21),"Stage 2","Stage 1"))</f>
        <v>Stage 1</v>
      </c>
      <c r="H221" s="16" t="n">
        <f aca="false">IF(G221="Stage 1",12,MIN(Portfolio!H221,60))</f>
        <v>12</v>
      </c>
      <c r="I221" s="24" t="n">
        <f aca="false">1-(1-D221)^(H221/12)</f>
        <v>0.001</v>
      </c>
      <c r="J221" s="24" t="n">
        <f aca="false">IF(G221="Stage 1",D221,I221)</f>
        <v>0.001</v>
      </c>
      <c r="K221" s="25" t="n">
        <f aca="false">J221*'Cover &amp; Assumptions'!$D$11*E221*'Cover &amp; Assumptions'!$E$11*C221</f>
        <v>25.4123803</v>
      </c>
      <c r="L221" s="25" t="n">
        <f aca="false">J221*'Cover &amp; Assumptions'!$D$12*E221*'Cover &amp; Assumptions'!$E$12*C221</f>
        <v>31.47044</v>
      </c>
      <c r="M221" s="25" t="n">
        <f aca="false">J221*'Cover &amp; Assumptions'!$D$13*E221*'Cover &amp; Assumptions'!$E$13*C221</f>
        <v>54.7585656</v>
      </c>
      <c r="N221" s="25" t="n">
        <f aca="false">K221*'Cover &amp; Assumptions'!$C$11+L221*'Cover &amp; Assumptions'!$C$12+M221*'Cover &amp; Assumptions'!$C$13</f>
        <v>36.08085946</v>
      </c>
    </row>
    <row r="222" customFormat="false" ht="15" hidden="false" customHeight="false" outlineLevel="0" collapsed="false">
      <c r="A222" s="17" t="str">
        <f aca="false">Portfolio!A222</f>
        <v>UKSME-101521</v>
      </c>
      <c r="B222" s="17" t="str">
        <f aca="false">Portfolio!B222</f>
        <v>Technology</v>
      </c>
      <c r="C222" s="21" t="n">
        <f aca="false">Portfolio!D222</f>
        <v>17342</v>
      </c>
      <c r="D222" s="22" t="n">
        <f aca="false">Portfolio!G222</f>
        <v>0.185334022364428</v>
      </c>
      <c r="E222" s="23" t="n">
        <f aca="false">Portfolio!E222</f>
        <v>0.327</v>
      </c>
      <c r="F222" s="17" t="n">
        <f aca="false">Portfolio!F222</f>
        <v>0</v>
      </c>
      <c r="G222" s="16" t="str">
        <f aca="false">IF(OR(F222&gt;='Cover &amp; Assumptions'!$C$22,Portfolio!I222=1),"Stage 3",IF(OR(F222&gt;=30,D222&gt;'Cover &amp; Assumptions'!$C$21),"Stage 2","Stage 1"))</f>
        <v>Stage 2</v>
      </c>
      <c r="H222" s="16" t="n">
        <f aca="false">IF(G222="Stage 1",12,MIN(Portfolio!H222,60))</f>
        <v>60</v>
      </c>
      <c r="I222" s="24" t="n">
        <f aca="false">1-(1-D222)^(H222/12)</f>
        <v>0.641162437742118</v>
      </c>
      <c r="J222" s="24" t="n">
        <f aca="false">IF(G222="Stage 1",D222,I222)</f>
        <v>0.641162437742118</v>
      </c>
      <c r="K222" s="25" t="n">
        <f aca="false">J222*'Cover &amp; Assumptions'!$D$11*E222*'Cover &amp; Assumptions'!$E$11*C222</f>
        <v>2936.01004431274</v>
      </c>
      <c r="L222" s="25" t="n">
        <f aca="false">J222*'Cover &amp; Assumptions'!$D$12*E222*'Cover &amp; Assumptions'!$E$12*C222</f>
        <v>3635.92575147088</v>
      </c>
      <c r="M222" s="25" t="n">
        <f aca="false">J222*'Cover &amp; Assumptions'!$D$13*E222*'Cover &amp; Assumptions'!$E$13*C222</f>
        <v>6326.51080755934</v>
      </c>
      <c r="N222" s="25" t="n">
        <f aca="false">K222*'Cover &amp; Assumptions'!$C$11+L222*'Cover &amp; Assumptions'!$C$12+M222*'Cover &amp; Assumptions'!$C$13</f>
        <v>4168.58887406137</v>
      </c>
    </row>
    <row r="223" customFormat="false" ht="15" hidden="false" customHeight="false" outlineLevel="0" collapsed="false">
      <c r="A223" s="17" t="str">
        <f aca="false">Portfolio!A223</f>
        <v>UKSME-107155</v>
      </c>
      <c r="B223" s="17" t="str">
        <f aca="false">Portfolio!B223</f>
        <v>Professional Services</v>
      </c>
      <c r="C223" s="21" t="n">
        <f aca="false">Portfolio!D223</f>
        <v>24293</v>
      </c>
      <c r="D223" s="22" t="n">
        <f aca="false">Portfolio!G223</f>
        <v>0.0975442630217021</v>
      </c>
      <c r="E223" s="23" t="n">
        <f aca="false">Portfolio!E223</f>
        <v>0.245</v>
      </c>
      <c r="F223" s="17" t="n">
        <f aca="false">Portfolio!F223</f>
        <v>0</v>
      </c>
      <c r="G223" s="16" t="str">
        <f aca="false">IF(OR(F223&gt;='Cover &amp; Assumptions'!$C$22,Portfolio!I223=1),"Stage 3",IF(OR(F223&gt;=30,D223&gt;'Cover &amp; Assumptions'!$C$21),"Stage 2","Stage 1"))</f>
        <v>Stage 1</v>
      </c>
      <c r="H223" s="16" t="n">
        <f aca="false">IF(G223="Stage 1",12,MIN(Portfolio!H223,60))</f>
        <v>12</v>
      </c>
      <c r="I223" s="24" t="n">
        <f aca="false">1-(1-D223)^(H223/12)</f>
        <v>0.0975442630217021</v>
      </c>
      <c r="J223" s="24" t="n">
        <f aca="false">IF(G223="Stage 1",D223,I223)</f>
        <v>0.0975442630217021</v>
      </c>
      <c r="K223" s="25" t="n">
        <f aca="false">J223*'Cover &amp; Assumptions'!$D$11*E223*'Cover &amp; Assumptions'!$E$11*C223</f>
        <v>468.804203802062</v>
      </c>
      <c r="L223" s="25" t="n">
        <f aca="false">J223*'Cover &amp; Assumptions'!$D$12*E223*'Cover &amp; Assumptions'!$E$12*C223</f>
        <v>580.562481488621</v>
      </c>
      <c r="M223" s="25" t="n">
        <f aca="false">J223*'Cover &amp; Assumptions'!$D$13*E223*'Cover &amp; Assumptions'!$E$13*C223</f>
        <v>1010.1787177902</v>
      </c>
      <c r="N223" s="25" t="n">
        <f aca="false">K223*'Cover &amp; Assumptions'!$C$11+L223*'Cover &amp; Assumptions'!$C$12+M223*'Cover &amp; Assumptions'!$C$13</f>
        <v>665.614885026704</v>
      </c>
    </row>
    <row r="224" customFormat="false" ht="15" hidden="false" customHeight="false" outlineLevel="0" collapsed="false">
      <c r="A224" s="17" t="str">
        <f aca="false">Portfolio!A224</f>
        <v>UKSME-102766</v>
      </c>
      <c r="B224" s="17" t="str">
        <f aca="false">Portfolio!B224</f>
        <v>Construction</v>
      </c>
      <c r="C224" s="21" t="n">
        <f aca="false">Portfolio!D224</f>
        <v>32017</v>
      </c>
      <c r="D224" s="22" t="n">
        <f aca="false">Portfolio!G224</f>
        <v>0.241497821754119</v>
      </c>
      <c r="E224" s="23" t="n">
        <f aca="false">Portfolio!E224</f>
        <v>0.782</v>
      </c>
      <c r="F224" s="17" t="n">
        <f aca="false">Portfolio!F224</f>
        <v>0</v>
      </c>
      <c r="G224" s="16" t="str">
        <f aca="false">IF(OR(F224&gt;='Cover &amp; Assumptions'!$C$22,Portfolio!I224=1),"Stage 3",IF(OR(F224&gt;=30,D224&gt;'Cover &amp; Assumptions'!$C$21),"Stage 2","Stage 1"))</f>
        <v>Stage 3</v>
      </c>
      <c r="H224" s="16" t="n">
        <f aca="false">IF(G224="Stage 1",12,MIN(Portfolio!H224,60))</f>
        <v>12</v>
      </c>
      <c r="I224" s="24" t="n">
        <f aca="false">1-(1-D224)^(H224/12)</f>
        <v>0.241497821754119</v>
      </c>
      <c r="J224" s="24" t="n">
        <f aca="false">IF(G224="Stage 1",D224,I224)</f>
        <v>0.241497821754119</v>
      </c>
      <c r="K224" s="25" t="n">
        <f aca="false">J224*'Cover &amp; Assumptions'!$D$11*E224*'Cover &amp; Assumptions'!$E$11*C224</f>
        <v>4882.50996062111</v>
      </c>
      <c r="L224" s="25" t="n">
        <f aca="false">J224*'Cover &amp; Assumptions'!$D$12*E224*'Cover &amp; Assumptions'!$E$12*C224</f>
        <v>6046.45196361748</v>
      </c>
      <c r="M224" s="25" t="n">
        <f aca="false">J224*'Cover &amp; Assumptions'!$D$13*E224*'Cover &amp; Assumptions'!$E$13*C224</f>
        <v>10520.8264166944</v>
      </c>
      <c r="N224" s="25" t="n">
        <f aca="false">K224*'Cover &amp; Assumptions'!$C$11+L224*'Cover &amp; Assumptions'!$C$12+M224*'Cover &amp; Assumptions'!$C$13</f>
        <v>6932.25717628743</v>
      </c>
    </row>
    <row r="225" customFormat="false" ht="15" hidden="false" customHeight="false" outlineLevel="0" collapsed="false">
      <c r="A225" s="17" t="str">
        <f aca="false">Portfolio!A225</f>
        <v>UKSME-104656</v>
      </c>
      <c r="B225" s="17" t="str">
        <f aca="false">Portfolio!B225</f>
        <v>Transport</v>
      </c>
      <c r="C225" s="21" t="n">
        <f aca="false">Portfolio!D225</f>
        <v>81525</v>
      </c>
      <c r="D225" s="22" t="n">
        <f aca="false">Portfolio!G225</f>
        <v>0.0731443125837647</v>
      </c>
      <c r="E225" s="23" t="n">
        <f aca="false">Portfolio!E225</f>
        <v>0.404</v>
      </c>
      <c r="F225" s="17" t="n">
        <f aca="false">Portfolio!F225</f>
        <v>0</v>
      </c>
      <c r="G225" s="16" t="str">
        <f aca="false">IF(OR(F225&gt;='Cover &amp; Assumptions'!$C$22,Portfolio!I225=1),"Stage 3",IF(OR(F225&gt;=30,D225&gt;'Cover &amp; Assumptions'!$C$21),"Stage 2","Stage 1"))</f>
        <v>Stage 1</v>
      </c>
      <c r="H225" s="16" t="n">
        <f aca="false">IF(G225="Stage 1",12,MIN(Portfolio!H225,60))</f>
        <v>12</v>
      </c>
      <c r="I225" s="24" t="n">
        <f aca="false">1-(1-D225)^(H225/12)</f>
        <v>0.0731443125837648</v>
      </c>
      <c r="J225" s="24" t="n">
        <f aca="false">IF(G225="Stage 1",D225,I225)</f>
        <v>0.0731443125837647</v>
      </c>
      <c r="K225" s="25" t="n">
        <f aca="false">J225*'Cover &amp; Assumptions'!$D$11*E225*'Cover &amp; Assumptions'!$E$11*C225</f>
        <v>1945.33887790478</v>
      </c>
      <c r="L225" s="25" t="n">
        <f aca="false">J225*'Cover &amp; Assumptions'!$D$12*E225*'Cover &amp; Assumptions'!$E$12*C225</f>
        <v>2409.08839369013</v>
      </c>
      <c r="M225" s="25" t="n">
        <f aca="false">J225*'Cover &amp; Assumptions'!$D$13*E225*'Cover &amp; Assumptions'!$E$13*C225</f>
        <v>4191.81380502083</v>
      </c>
      <c r="N225" s="25" t="n">
        <f aca="false">K225*'Cover &amp; Assumptions'!$C$11+L225*'Cover &amp; Assumptions'!$C$12+M225*'Cover &amp; Assumptions'!$C$13</f>
        <v>2762.01984336574</v>
      </c>
    </row>
    <row r="226" customFormat="false" ht="15" hidden="false" customHeight="false" outlineLevel="0" collapsed="false">
      <c r="A226" s="17" t="str">
        <f aca="false">Portfolio!A226</f>
        <v>UKSME-109992</v>
      </c>
      <c r="B226" s="17" t="str">
        <f aca="false">Portfolio!B226</f>
        <v>Construction</v>
      </c>
      <c r="C226" s="21" t="n">
        <f aca="false">Portfolio!D226</f>
        <v>10292</v>
      </c>
      <c r="D226" s="22" t="n">
        <f aca="false">Portfolio!G226</f>
        <v>0.132838926406462</v>
      </c>
      <c r="E226" s="23" t="n">
        <f aca="false">Portfolio!E226</f>
        <v>0.231</v>
      </c>
      <c r="F226" s="17" t="n">
        <f aca="false">Portfolio!F226</f>
        <v>0</v>
      </c>
      <c r="G226" s="16" t="str">
        <f aca="false">IF(OR(F226&gt;='Cover &amp; Assumptions'!$C$22,Portfolio!I226=1),"Stage 3",IF(OR(F226&gt;=30,D226&gt;'Cover &amp; Assumptions'!$C$21),"Stage 2","Stage 1"))</f>
        <v>Stage 1</v>
      </c>
      <c r="H226" s="16" t="n">
        <f aca="false">IF(G226="Stage 1",12,MIN(Portfolio!H226,60))</f>
        <v>12</v>
      </c>
      <c r="I226" s="24" t="n">
        <f aca="false">1-(1-D226)^(H226/12)</f>
        <v>0.132838926406462</v>
      </c>
      <c r="J226" s="24" t="n">
        <f aca="false">IF(G226="Stage 1",D226,I226)</f>
        <v>0.132838926406462</v>
      </c>
      <c r="K226" s="25" t="n">
        <f aca="false">J226*'Cover &amp; Assumptions'!$D$11*E226*'Cover &amp; Assumptions'!$E$11*C226</f>
        <v>255.023173294788</v>
      </c>
      <c r="L226" s="25" t="n">
        <f aca="false">J226*'Cover &amp; Assumptions'!$D$12*E226*'Cover &amp; Assumptions'!$E$12*C226</f>
        <v>315.818171262896</v>
      </c>
      <c r="M226" s="25" t="n">
        <f aca="false">J226*'Cover &amp; Assumptions'!$D$13*E226*'Cover &amp; Assumptions'!$E$13*C226</f>
        <v>549.523617997438</v>
      </c>
      <c r="N226" s="25" t="n">
        <f aca="false">K226*'Cover &amp; Assumptions'!$C$11+L226*'Cover &amp; Assumptions'!$C$12+M226*'Cover &amp; Assumptions'!$C$13</f>
        <v>362.08553335291</v>
      </c>
    </row>
    <row r="227" customFormat="false" ht="15" hidden="false" customHeight="false" outlineLevel="0" collapsed="false">
      <c r="A227" s="17" t="str">
        <f aca="false">Portfolio!A227</f>
        <v>UKSME-102498</v>
      </c>
      <c r="B227" s="17" t="str">
        <f aca="false">Portfolio!B227</f>
        <v>Construction</v>
      </c>
      <c r="C227" s="21" t="n">
        <f aca="false">Portfolio!D227</f>
        <v>95516</v>
      </c>
      <c r="D227" s="22" t="n">
        <f aca="false">Portfolio!G227</f>
        <v>0.04802617923643</v>
      </c>
      <c r="E227" s="23" t="n">
        <f aca="false">Portfolio!E227</f>
        <v>0.166</v>
      </c>
      <c r="F227" s="17" t="n">
        <f aca="false">Portfolio!F227</f>
        <v>0</v>
      </c>
      <c r="G227" s="16" t="str">
        <f aca="false">IF(OR(F227&gt;='Cover &amp; Assumptions'!$C$22,Portfolio!I227=1),"Stage 3",IF(OR(F227&gt;=30,D227&gt;'Cover &amp; Assumptions'!$C$21),"Stage 2","Stage 1"))</f>
        <v>Stage 1</v>
      </c>
      <c r="H227" s="16" t="n">
        <f aca="false">IF(G227="Stage 1",12,MIN(Portfolio!H227,60))</f>
        <v>12</v>
      </c>
      <c r="I227" s="24" t="n">
        <f aca="false">1-(1-D227)^(H227/12)</f>
        <v>0.04802617923643</v>
      </c>
      <c r="J227" s="24" t="n">
        <f aca="false">IF(G227="Stage 1",D227,I227)</f>
        <v>0.04802617923643</v>
      </c>
      <c r="K227" s="25" t="n">
        <f aca="false">J227*'Cover &amp; Assumptions'!$D$11*E227*'Cover &amp; Assumptions'!$E$11*C227</f>
        <v>614.900410900995</v>
      </c>
      <c r="L227" s="25" t="n">
        <f aca="false">J227*'Cover &amp; Assumptions'!$D$12*E227*'Cover &amp; Assumptions'!$E$12*C227</f>
        <v>761.486576967177</v>
      </c>
      <c r="M227" s="25" t="n">
        <f aca="false">J227*'Cover &amp; Assumptions'!$D$13*E227*'Cover &amp; Assumptions'!$E$13*C227</f>
        <v>1324.98664392289</v>
      </c>
      <c r="N227" s="25" t="n">
        <f aca="false">K227*'Cover &amp; Assumptions'!$C$11+L227*'Cover &amp; Assumptions'!$C$12+M227*'Cover &amp; Assumptions'!$C$13</f>
        <v>873.044360492868</v>
      </c>
    </row>
    <row r="228" customFormat="false" ht="15" hidden="false" customHeight="false" outlineLevel="0" collapsed="false">
      <c r="A228" s="17" t="str">
        <f aca="false">Portfolio!A228</f>
        <v>UKSME-100748</v>
      </c>
      <c r="B228" s="17" t="str">
        <f aca="false">Portfolio!B228</f>
        <v>Healthcare</v>
      </c>
      <c r="C228" s="21" t="n">
        <f aca="false">Portfolio!D228</f>
        <v>16507</v>
      </c>
      <c r="D228" s="22" t="n">
        <f aca="false">Portfolio!G228</f>
        <v>0.104962084853708</v>
      </c>
      <c r="E228" s="23" t="n">
        <f aca="false">Portfolio!E228</f>
        <v>0.643</v>
      </c>
      <c r="F228" s="17" t="n">
        <f aca="false">Portfolio!F228</f>
        <v>0</v>
      </c>
      <c r="G228" s="16" t="str">
        <f aca="false">IF(OR(F228&gt;='Cover &amp; Assumptions'!$C$22,Portfolio!I228=1),"Stage 3",IF(OR(F228&gt;=30,D228&gt;'Cover &amp; Assumptions'!$C$21),"Stage 2","Stage 1"))</f>
        <v>Stage 1</v>
      </c>
      <c r="H228" s="16" t="n">
        <f aca="false">IF(G228="Stage 1",12,MIN(Portfolio!H228,60))</f>
        <v>12</v>
      </c>
      <c r="I228" s="24" t="n">
        <f aca="false">1-(1-D228)^(H228/12)</f>
        <v>0.104962084853708</v>
      </c>
      <c r="J228" s="24" t="n">
        <f aca="false">IF(G228="Stage 1",D228,I228)</f>
        <v>0.104962084853708</v>
      </c>
      <c r="K228" s="25" t="n">
        <f aca="false">J228*'Cover &amp; Assumptions'!$D$11*E228*'Cover &amp; Assumptions'!$E$11*C228</f>
        <v>899.609646431471</v>
      </c>
      <c r="L228" s="25" t="n">
        <f aca="false">J228*'Cover &amp; Assumptions'!$D$12*E228*'Cover &amp; Assumptions'!$E$12*C228</f>
        <v>1114.06767359934</v>
      </c>
      <c r="M228" s="25" t="n">
        <f aca="false">J228*'Cover &amp; Assumptions'!$D$13*E228*'Cover &amp; Assumptions'!$E$13*C228</f>
        <v>1938.47775206286</v>
      </c>
      <c r="N228" s="25" t="n">
        <f aca="false">K228*'Cover &amp; Assumptions'!$C$11+L228*'Cover &amp; Assumptions'!$C$12+M228*'Cover &amp; Assumptions'!$C$13</f>
        <v>1277.27858778165</v>
      </c>
    </row>
    <row r="229" customFormat="false" ht="15" hidden="false" customHeight="false" outlineLevel="0" collapsed="false">
      <c r="A229" s="17" t="str">
        <f aca="false">Portfolio!A229</f>
        <v>UKSME-103990</v>
      </c>
      <c r="B229" s="17" t="str">
        <f aca="false">Portfolio!B229</f>
        <v>Real Estate</v>
      </c>
      <c r="C229" s="21" t="n">
        <f aca="false">Portfolio!D229</f>
        <v>54634</v>
      </c>
      <c r="D229" s="22" t="n">
        <f aca="false">Portfolio!G229</f>
        <v>0.0994837943652202</v>
      </c>
      <c r="E229" s="23" t="n">
        <f aca="false">Portfolio!E229</f>
        <v>0.337</v>
      </c>
      <c r="F229" s="17" t="n">
        <f aca="false">Portfolio!F229</f>
        <v>65</v>
      </c>
      <c r="G229" s="16" t="str">
        <f aca="false">IF(OR(F229&gt;='Cover &amp; Assumptions'!$C$22,Portfolio!I229=1),"Stage 3",IF(OR(F229&gt;=30,D229&gt;'Cover &amp; Assumptions'!$C$21),"Stage 2","Stage 1"))</f>
        <v>Stage 2</v>
      </c>
      <c r="H229" s="16" t="n">
        <f aca="false">IF(G229="Stage 1",12,MIN(Portfolio!H229,60))</f>
        <v>48</v>
      </c>
      <c r="I229" s="24" t="n">
        <f aca="false">1-(1-D229)^(H229/12)</f>
        <v>0.342393448837992</v>
      </c>
      <c r="J229" s="24" t="n">
        <f aca="false">IF(G229="Stage 1",D229,I229)</f>
        <v>0.342393448837992</v>
      </c>
      <c r="K229" s="25" t="n">
        <f aca="false">J229*'Cover &amp; Assumptions'!$D$11*E229*'Cover &amp; Assumptions'!$E$11*C229</f>
        <v>5090.50509826732</v>
      </c>
      <c r="L229" s="25" t="n">
        <f aca="false">J229*'Cover &amp; Assumptions'!$D$12*E229*'Cover &amp; Assumptions'!$E$12*C229</f>
        <v>6304.0310814456</v>
      </c>
      <c r="M229" s="25" t="n">
        <f aca="false">J229*'Cover &amp; Assumptions'!$D$13*E229*'Cover &amp; Assumptions'!$E$13*C229</f>
        <v>10969.0140817153</v>
      </c>
      <c r="N229" s="25" t="n">
        <f aca="false">K229*'Cover &amp; Assumptions'!$C$11+L229*'Cover &amp; Assumptions'!$C$12+M229*'Cover &amp; Assumptions'!$C$13</f>
        <v>7227.57163487738</v>
      </c>
    </row>
    <row r="230" customFormat="false" ht="15" hidden="false" customHeight="false" outlineLevel="0" collapsed="false">
      <c r="A230" s="17" t="str">
        <f aca="false">Portfolio!A230</f>
        <v>UKSME-101931</v>
      </c>
      <c r="B230" s="17" t="str">
        <f aca="false">Portfolio!B230</f>
        <v>Healthcare</v>
      </c>
      <c r="C230" s="21" t="n">
        <f aca="false">Portfolio!D230</f>
        <v>182681</v>
      </c>
      <c r="D230" s="22" t="n">
        <f aca="false">Portfolio!G230</f>
        <v>0.0736720106969026</v>
      </c>
      <c r="E230" s="23" t="n">
        <f aca="false">Portfolio!E230</f>
        <v>0.354</v>
      </c>
      <c r="F230" s="17" t="n">
        <f aca="false">Portfolio!F230</f>
        <v>0</v>
      </c>
      <c r="G230" s="16" t="str">
        <f aca="false">IF(OR(F230&gt;='Cover &amp; Assumptions'!$C$22,Portfolio!I230=1),"Stage 3",IF(OR(F230&gt;=30,D230&gt;'Cover &amp; Assumptions'!$C$21),"Stage 2","Stage 1"))</f>
        <v>Stage 1</v>
      </c>
      <c r="H230" s="16" t="n">
        <f aca="false">IF(G230="Stage 1",12,MIN(Portfolio!H230,60))</f>
        <v>12</v>
      </c>
      <c r="I230" s="24" t="n">
        <f aca="false">1-(1-D230)^(H230/12)</f>
        <v>0.0736720106969027</v>
      </c>
      <c r="J230" s="24" t="n">
        <f aca="false">IF(G230="Stage 1",D230,I230)</f>
        <v>0.0736720106969026</v>
      </c>
      <c r="K230" s="25" t="n">
        <f aca="false">J230*'Cover &amp; Assumptions'!$D$11*E230*'Cover &amp; Assumptions'!$E$11*C230</f>
        <v>3847.17282452558</v>
      </c>
      <c r="L230" s="25" t="n">
        <f aca="false">J230*'Cover &amp; Assumptions'!$D$12*E230*'Cover &amp; Assumptions'!$E$12*C230</f>
        <v>4764.30071148679</v>
      </c>
      <c r="M230" s="25" t="n">
        <f aca="false">J230*'Cover &amp; Assumptions'!$D$13*E230*'Cover &amp; Assumptions'!$E$13*C230</f>
        <v>8289.88323798701</v>
      </c>
      <c r="N230" s="25" t="n">
        <f aca="false">K230*'Cover &amp; Assumptions'!$C$11+L230*'Cover &amp; Assumptions'!$C$12+M230*'Cover &amp; Assumptions'!$C$13</f>
        <v>5462.2707657196</v>
      </c>
    </row>
    <row r="231" customFormat="false" ht="15" hidden="false" customHeight="false" outlineLevel="0" collapsed="false">
      <c r="A231" s="17" t="str">
        <f aca="false">Portfolio!A231</f>
        <v>UKSME-103060</v>
      </c>
      <c r="B231" s="17" t="str">
        <f aca="false">Portfolio!B231</f>
        <v>Hospitality</v>
      </c>
      <c r="C231" s="21" t="n">
        <f aca="false">Portfolio!D231</f>
        <v>32463</v>
      </c>
      <c r="D231" s="22" t="n">
        <f aca="false">Portfolio!G231</f>
        <v>0.0879804161987278</v>
      </c>
      <c r="E231" s="23" t="n">
        <f aca="false">Portfolio!E231</f>
        <v>0.292</v>
      </c>
      <c r="F231" s="17" t="n">
        <f aca="false">Portfolio!F231</f>
        <v>0</v>
      </c>
      <c r="G231" s="16" t="str">
        <f aca="false">IF(OR(F231&gt;='Cover &amp; Assumptions'!$C$22,Portfolio!I231=1),"Stage 3",IF(OR(F231&gt;=30,D231&gt;'Cover &amp; Assumptions'!$C$21),"Stage 2","Stage 1"))</f>
        <v>Stage 1</v>
      </c>
      <c r="H231" s="16" t="n">
        <f aca="false">IF(G231="Stage 1",12,MIN(Portfolio!H231,60))</f>
        <v>12</v>
      </c>
      <c r="I231" s="24" t="n">
        <f aca="false">1-(1-D231)^(H231/12)</f>
        <v>0.0879804161987278</v>
      </c>
      <c r="J231" s="24" t="n">
        <f aca="false">IF(G231="Stage 1",D231,I231)</f>
        <v>0.0879804161987278</v>
      </c>
      <c r="K231" s="25" t="n">
        <f aca="false">J231*'Cover &amp; Assumptions'!$D$11*E231*'Cover &amp; Assumptions'!$E$11*C231</f>
        <v>673.441764517272</v>
      </c>
      <c r="L231" s="25" t="n">
        <f aca="false">J231*'Cover &amp; Assumptions'!$D$12*E231*'Cover &amp; Assumptions'!$E$12*C231</f>
        <v>833.983609309316</v>
      </c>
      <c r="M231" s="25" t="n">
        <f aca="false">J231*'Cover &amp; Assumptions'!$D$13*E231*'Cover &amp; Assumptions'!$E$13*C231</f>
        <v>1451.13148019821</v>
      </c>
      <c r="N231" s="25" t="n">
        <f aca="false">K231*'Cover &amp; Assumptions'!$C$11+L231*'Cover &amp; Assumptions'!$C$12+M231*'Cover &amp; Assumptions'!$C$13</f>
        <v>956.16220807313</v>
      </c>
    </row>
    <row r="232" customFormat="false" ht="15" hidden="false" customHeight="false" outlineLevel="0" collapsed="false">
      <c r="A232" s="17" t="str">
        <f aca="false">Portfolio!A232</f>
        <v>UKSME-108001</v>
      </c>
      <c r="B232" s="17" t="str">
        <f aca="false">Portfolio!B232</f>
        <v>Technology</v>
      </c>
      <c r="C232" s="21" t="n">
        <f aca="false">Portfolio!D232</f>
        <v>108576</v>
      </c>
      <c r="D232" s="22" t="n">
        <f aca="false">Portfolio!G232</f>
        <v>0.155492924967336</v>
      </c>
      <c r="E232" s="23" t="n">
        <f aca="false">Portfolio!E232</f>
        <v>0.239</v>
      </c>
      <c r="F232" s="17" t="n">
        <f aca="false">Portfolio!F232</f>
        <v>5</v>
      </c>
      <c r="G232" s="16" t="str">
        <f aca="false">IF(OR(F232&gt;='Cover &amp; Assumptions'!$C$22,Portfolio!I232=1),"Stage 3",IF(OR(F232&gt;=30,D232&gt;'Cover &amp; Assumptions'!$C$21),"Stage 2","Stage 1"))</f>
        <v>Stage 2</v>
      </c>
      <c r="H232" s="16" t="n">
        <f aca="false">IF(G232="Stage 1",12,MIN(Portfolio!H232,60))</f>
        <v>48</v>
      </c>
      <c r="I232" s="24" t="n">
        <f aca="false">1-(1-D232)^(H232/12)</f>
        <v>0.491356886172642</v>
      </c>
      <c r="J232" s="24" t="n">
        <f aca="false">IF(G232="Stage 1",D232,I232)</f>
        <v>0.491356886172642</v>
      </c>
      <c r="K232" s="25" t="n">
        <f aca="false">J232*'Cover &amp; Assumptions'!$D$11*E232*'Cover &amp; Assumptions'!$E$11*C232</f>
        <v>10296.065975965</v>
      </c>
      <c r="L232" s="25" t="n">
        <f aca="false">J232*'Cover &amp; Assumptions'!$D$12*E232*'Cover &amp; Assumptions'!$E$12*C232</f>
        <v>12750.5461002663</v>
      </c>
      <c r="M232" s="25" t="n">
        <f aca="false">J232*'Cover &amp; Assumptions'!$D$13*E232*'Cover &amp; Assumptions'!$E$13*C232</f>
        <v>22185.9502144633</v>
      </c>
      <c r="N232" s="25" t="n">
        <f aca="false">K232*'Cover &amp; Assumptions'!$C$11+L232*'Cover &amp; Assumptions'!$C$12+M232*'Cover &amp; Assumptions'!$C$13</f>
        <v>14618.5011039553</v>
      </c>
    </row>
    <row r="233" customFormat="false" ht="15" hidden="false" customHeight="false" outlineLevel="0" collapsed="false">
      <c r="A233" s="17" t="str">
        <f aca="false">Portfolio!A233</f>
        <v>UKSME-102267</v>
      </c>
      <c r="B233" s="17" t="str">
        <f aca="false">Portfolio!B233</f>
        <v>Wholesale</v>
      </c>
      <c r="C233" s="21" t="n">
        <f aca="false">Portfolio!D233</f>
        <v>23425</v>
      </c>
      <c r="D233" s="22" t="n">
        <f aca="false">Portfolio!G233</f>
        <v>0.240539282724707</v>
      </c>
      <c r="E233" s="23" t="n">
        <f aca="false">Portfolio!E233</f>
        <v>0.528</v>
      </c>
      <c r="F233" s="17" t="n">
        <f aca="false">Portfolio!F233</f>
        <v>0</v>
      </c>
      <c r="G233" s="16" t="str">
        <f aca="false">IF(OR(F233&gt;='Cover &amp; Assumptions'!$C$22,Portfolio!I233=1),"Stage 3",IF(OR(F233&gt;=30,D233&gt;'Cover &amp; Assumptions'!$C$21),"Stage 2","Stage 1"))</f>
        <v>Stage 2</v>
      </c>
      <c r="H233" s="16" t="n">
        <f aca="false">IF(G233="Stage 1",12,MIN(Portfolio!H233,60))</f>
        <v>60</v>
      </c>
      <c r="I233" s="24" t="n">
        <f aca="false">1-(1-D233)^(H233/12)</f>
        <v>0.747345768908629</v>
      </c>
      <c r="J233" s="24" t="n">
        <f aca="false">IF(G233="Stage 1",D233,I233)</f>
        <v>0.747345768908629</v>
      </c>
      <c r="K233" s="25" t="n">
        <f aca="false">J233*'Cover &amp; Assumptions'!$D$11*E233*'Cover &amp; Assumptions'!$E$11*C233</f>
        <v>7464.10316209686</v>
      </c>
      <c r="L233" s="25" t="n">
        <f aca="false">J233*'Cover &amp; Assumptions'!$D$12*E233*'Cover &amp; Assumptions'!$E$12*C233</f>
        <v>9243.47140816949</v>
      </c>
      <c r="M233" s="25" t="n">
        <f aca="false">J233*'Cover &amp; Assumptions'!$D$13*E233*'Cover &amp; Assumptions'!$E$13*C233</f>
        <v>16083.6402502149</v>
      </c>
      <c r="N233" s="25" t="n">
        <f aca="false">K233*'Cover &amp; Assumptions'!$C$11+L233*'Cover &amp; Assumptions'!$C$12+M233*'Cover &amp; Assumptions'!$C$13</f>
        <v>10597.6399694663</v>
      </c>
    </row>
    <row r="234" customFormat="false" ht="15" hidden="false" customHeight="false" outlineLevel="0" collapsed="false">
      <c r="A234" s="17" t="str">
        <f aca="false">Portfolio!A234</f>
        <v>UKSME-106012</v>
      </c>
      <c r="B234" s="17" t="str">
        <f aca="false">Portfolio!B234</f>
        <v>Manufacturing</v>
      </c>
      <c r="C234" s="21" t="n">
        <f aca="false">Portfolio!D234</f>
        <v>54260</v>
      </c>
      <c r="D234" s="22" t="n">
        <f aca="false">Portfolio!G234</f>
        <v>0.105429402278842</v>
      </c>
      <c r="E234" s="23" t="n">
        <f aca="false">Portfolio!E234</f>
        <v>0.142</v>
      </c>
      <c r="F234" s="17" t="n">
        <f aca="false">Portfolio!F234</f>
        <v>0</v>
      </c>
      <c r="G234" s="16" t="str">
        <f aca="false">IF(OR(F234&gt;='Cover &amp; Assumptions'!$C$22,Portfolio!I234=1),"Stage 3",IF(OR(F234&gt;=30,D234&gt;'Cover &amp; Assumptions'!$C$21),"Stage 2","Stage 1"))</f>
        <v>Stage 1</v>
      </c>
      <c r="H234" s="16" t="n">
        <f aca="false">IF(G234="Stage 1",12,MIN(Portfolio!H234,60))</f>
        <v>12</v>
      </c>
      <c r="I234" s="24" t="n">
        <f aca="false">1-(1-D234)^(H234/12)</f>
        <v>0.105429402278842</v>
      </c>
      <c r="J234" s="24" t="n">
        <f aca="false">IF(G234="Stage 1",D234,I234)</f>
        <v>0.105429402278842</v>
      </c>
      <c r="K234" s="25" t="n">
        <f aca="false">J234*'Cover &amp; Assumptions'!$D$11*E234*'Cover &amp; Assumptions'!$E$11*C234</f>
        <v>655.952526491581</v>
      </c>
      <c r="L234" s="25" t="n">
        <f aca="false">J234*'Cover &amp; Assumptions'!$D$12*E234*'Cover &amp; Assumptions'!$E$12*C234</f>
        <v>812.325110206292</v>
      </c>
      <c r="M234" s="25" t="n">
        <f aca="false">J234*'Cover &amp; Assumptions'!$D$13*E234*'Cover &amp; Assumptions'!$E$13*C234</f>
        <v>1413.44569175895</v>
      </c>
      <c r="N234" s="25" t="n">
        <f aca="false">K234*'Cover &amp; Assumptions'!$C$11+L234*'Cover &amp; Assumptions'!$C$12+M234*'Cover &amp; Assumptions'!$C$13</f>
        <v>931.330738851514</v>
      </c>
    </row>
    <row r="235" customFormat="false" ht="15" hidden="false" customHeight="false" outlineLevel="0" collapsed="false">
      <c r="A235" s="17" t="str">
        <f aca="false">Portfolio!A235</f>
        <v>UKSME-105550</v>
      </c>
      <c r="B235" s="17" t="str">
        <f aca="false">Portfolio!B235</f>
        <v>Hospitality</v>
      </c>
      <c r="C235" s="21" t="n">
        <f aca="false">Portfolio!D235</f>
        <v>87881</v>
      </c>
      <c r="D235" s="22" t="n">
        <f aca="false">Portfolio!G235</f>
        <v>0.256584202460052</v>
      </c>
      <c r="E235" s="23" t="n">
        <f aca="false">Portfolio!E235</f>
        <v>0.295</v>
      </c>
      <c r="F235" s="17" t="n">
        <f aca="false">Portfolio!F235</f>
        <v>0</v>
      </c>
      <c r="G235" s="16" t="str">
        <f aca="false">IF(OR(F235&gt;='Cover &amp; Assumptions'!$C$22,Portfolio!I235=1),"Stage 3",IF(OR(F235&gt;=30,D235&gt;'Cover &amp; Assumptions'!$C$21),"Stage 2","Stage 1"))</f>
        <v>Stage 3</v>
      </c>
      <c r="H235" s="16" t="n">
        <f aca="false">IF(G235="Stage 1",12,MIN(Portfolio!H235,60))</f>
        <v>60</v>
      </c>
      <c r="I235" s="24" t="n">
        <f aca="false">1-(1-D235)^(H235/12)</f>
        <v>0.772930435015921</v>
      </c>
      <c r="J235" s="24" t="n">
        <f aca="false">IF(G235="Stage 1",D235,I235)</f>
        <v>0.772930435015921</v>
      </c>
      <c r="K235" s="25" t="n">
        <f aca="false">J235*'Cover &amp; Assumptions'!$D$11*E235*'Cover &amp; Assumptions'!$E$11*C235</f>
        <v>16180.7983488493</v>
      </c>
      <c r="L235" s="25" t="n">
        <f aca="false">J235*'Cover &amp; Assumptions'!$D$12*E235*'Cover &amp; Assumptions'!$E$12*C235</f>
        <v>20038.1403700921</v>
      </c>
      <c r="M235" s="25" t="n">
        <f aca="false">J235*'Cover &amp; Assumptions'!$D$13*E235*'Cover &amp; Assumptions'!$E$13*C235</f>
        <v>34866.3642439602</v>
      </c>
      <c r="N235" s="25" t="n">
        <f aca="false">K235*'Cover &amp; Assumptions'!$C$11+L235*'Cover &amp; Assumptions'!$C$12+M235*'Cover &amp; Assumptions'!$C$13</f>
        <v>22973.7279343106</v>
      </c>
    </row>
    <row r="236" customFormat="false" ht="15" hidden="false" customHeight="false" outlineLevel="0" collapsed="false">
      <c r="A236" s="17" t="str">
        <f aca="false">Portfolio!A236</f>
        <v>UKSME-106499</v>
      </c>
      <c r="B236" s="17" t="str">
        <f aca="false">Portfolio!B236</f>
        <v>Transport</v>
      </c>
      <c r="C236" s="21" t="n">
        <f aca="false">Portfolio!D236</f>
        <v>452034</v>
      </c>
      <c r="D236" s="22" t="n">
        <f aca="false">Portfolio!G236</f>
        <v>0.214025929727343</v>
      </c>
      <c r="E236" s="23" t="n">
        <f aca="false">Portfolio!E236</f>
        <v>0.227</v>
      </c>
      <c r="F236" s="17" t="n">
        <f aca="false">Portfolio!F236</f>
        <v>0</v>
      </c>
      <c r="G236" s="16" t="str">
        <f aca="false">IF(OR(F236&gt;='Cover &amp; Assumptions'!$C$22,Portfolio!I236=1),"Stage 3",IF(OR(F236&gt;=30,D236&gt;'Cover &amp; Assumptions'!$C$21),"Stage 2","Stage 1"))</f>
        <v>Stage 2</v>
      </c>
      <c r="H236" s="16" t="n">
        <f aca="false">IF(G236="Stage 1",12,MIN(Portfolio!H236,60))</f>
        <v>60</v>
      </c>
      <c r="I236" s="24" t="n">
        <f aca="false">1-(1-D236)^(H236/12)</f>
        <v>0.700055368450277</v>
      </c>
      <c r="J236" s="24" t="n">
        <f aca="false">IF(G236="Stage 1",D236,I236)</f>
        <v>0.700055368450277</v>
      </c>
      <c r="K236" s="25" t="n">
        <f aca="false">J236*'Cover &amp; Assumptions'!$D$11*E236*'Cover &amp; Assumptions'!$E$11*C236</f>
        <v>58005.8613718333</v>
      </c>
      <c r="L236" s="25" t="n">
        <f aca="false">J236*'Cover &amp; Assumptions'!$D$12*E236*'Cover &amp; Assumptions'!$E$12*C236</f>
        <v>71833.8840518059</v>
      </c>
      <c r="M236" s="25" t="n">
        <f aca="false">J236*'Cover &amp; Assumptions'!$D$13*E236*'Cover &amp; Assumptions'!$E$13*C236</f>
        <v>124990.958250142</v>
      </c>
      <c r="N236" s="25" t="n">
        <f aca="false">K236*'Cover &amp; Assumptions'!$C$11+L236*'Cover &amp; Assumptions'!$C$12+M236*'Cover &amp; Assumptions'!$C$13</f>
        <v>82357.5480653955</v>
      </c>
    </row>
    <row r="237" customFormat="false" ht="15" hidden="false" customHeight="false" outlineLevel="0" collapsed="false">
      <c r="A237" s="17" t="str">
        <f aca="false">Portfolio!A237</f>
        <v>UKSME-105856</v>
      </c>
      <c r="B237" s="17" t="str">
        <f aca="false">Portfolio!B237</f>
        <v>Retail</v>
      </c>
      <c r="C237" s="21" t="n">
        <f aca="false">Portfolio!D237</f>
        <v>116243</v>
      </c>
      <c r="D237" s="22" t="n">
        <f aca="false">Portfolio!G237</f>
        <v>0.12157874622394</v>
      </c>
      <c r="E237" s="23" t="n">
        <f aca="false">Portfolio!E237</f>
        <v>0.208</v>
      </c>
      <c r="F237" s="17" t="n">
        <f aca="false">Portfolio!F237</f>
        <v>0</v>
      </c>
      <c r="G237" s="16" t="str">
        <f aca="false">IF(OR(F237&gt;='Cover &amp; Assumptions'!$C$22,Portfolio!I237=1),"Stage 3",IF(OR(F237&gt;=30,D237&gt;'Cover &amp; Assumptions'!$C$21),"Stage 2","Stage 1"))</f>
        <v>Stage 1</v>
      </c>
      <c r="H237" s="16" t="n">
        <f aca="false">IF(G237="Stage 1",12,MIN(Portfolio!H237,60))</f>
        <v>12</v>
      </c>
      <c r="I237" s="24" t="n">
        <f aca="false">1-(1-D237)^(H237/12)</f>
        <v>0.12157874622394</v>
      </c>
      <c r="J237" s="24" t="n">
        <f aca="false">IF(G237="Stage 1",D237,I237)</f>
        <v>0.12157874622394</v>
      </c>
      <c r="K237" s="25" t="n">
        <f aca="false">J237*'Cover &amp; Assumptions'!$D$11*E237*'Cover &amp; Assumptions'!$E$11*C237</f>
        <v>2373.7246300201</v>
      </c>
      <c r="L237" s="25" t="n">
        <f aca="false">J237*'Cover &amp; Assumptions'!$D$12*E237*'Cover &amp; Assumptions'!$E$12*C237</f>
        <v>2939.59706504037</v>
      </c>
      <c r="M237" s="25" t="n">
        <f aca="false">J237*'Cover &amp; Assumptions'!$D$13*E237*'Cover &amp; Assumptions'!$E$13*C237</f>
        <v>5114.89889317025</v>
      </c>
      <c r="N237" s="25" t="n">
        <f aca="false">K237*'Cover &amp; Assumptions'!$C$11+L237*'Cover &amp; Assumptions'!$C$12+M237*'Cover &amp; Assumptions'!$C$13</f>
        <v>3370.24803506879</v>
      </c>
    </row>
    <row r="238" customFormat="false" ht="15" hidden="false" customHeight="false" outlineLevel="0" collapsed="false">
      <c r="A238" s="17" t="str">
        <f aca="false">Portfolio!A238</f>
        <v>UKSME-102979</v>
      </c>
      <c r="B238" s="17" t="str">
        <f aca="false">Portfolio!B238</f>
        <v>Professional Services</v>
      </c>
      <c r="C238" s="21" t="n">
        <f aca="false">Portfolio!D238</f>
        <v>81347</v>
      </c>
      <c r="D238" s="22" t="n">
        <f aca="false">Portfolio!G238</f>
        <v>0.0085791243912128</v>
      </c>
      <c r="E238" s="23" t="n">
        <f aca="false">Portfolio!E238</f>
        <v>0.158</v>
      </c>
      <c r="F238" s="17" t="n">
        <f aca="false">Portfolio!F238</f>
        <v>0</v>
      </c>
      <c r="G238" s="16" t="str">
        <f aca="false">IF(OR(F238&gt;='Cover &amp; Assumptions'!$C$22,Portfolio!I238=1),"Stage 3",IF(OR(F238&gt;=30,D238&gt;'Cover &amp; Assumptions'!$C$21),"Stage 2","Stage 1"))</f>
        <v>Stage 1</v>
      </c>
      <c r="H238" s="16" t="n">
        <f aca="false">IF(G238="Stage 1",12,MIN(Portfolio!H238,60))</f>
        <v>12</v>
      </c>
      <c r="I238" s="24" t="n">
        <f aca="false">1-(1-D238)^(H238/12)</f>
        <v>0.00857912439121278</v>
      </c>
      <c r="J238" s="24" t="n">
        <f aca="false">IF(G238="Stage 1",D238,I238)</f>
        <v>0.0085791243912128</v>
      </c>
      <c r="K238" s="25" t="n">
        <f aca="false">J238*'Cover &amp; Assumptions'!$D$11*E238*'Cover &amp; Assumptions'!$E$11*C238</f>
        <v>89.0397893738358</v>
      </c>
      <c r="L238" s="25" t="n">
        <f aca="false">J238*'Cover &amp; Assumptions'!$D$12*E238*'Cover &amp; Assumptions'!$E$12*C238</f>
        <v>110.265993032614</v>
      </c>
      <c r="M238" s="25" t="n">
        <f aca="false">J238*'Cover &amp; Assumptions'!$D$13*E238*'Cover &amp; Assumptions'!$E$13*C238</f>
        <v>191.862827876748</v>
      </c>
      <c r="N238" s="25" t="n">
        <f aca="false">K238*'Cover &amp; Assumptions'!$C$11+L238*'Cover &amp; Assumptions'!$C$12+M238*'Cover &amp; Assumptions'!$C$13</f>
        <v>126.419961011892</v>
      </c>
    </row>
    <row r="239" customFormat="false" ht="15" hidden="false" customHeight="false" outlineLevel="0" collapsed="false">
      <c r="A239" s="17" t="str">
        <f aca="false">Portfolio!A239</f>
        <v>UKSME-105232</v>
      </c>
      <c r="B239" s="17" t="str">
        <f aca="false">Portfolio!B239</f>
        <v>Transport</v>
      </c>
      <c r="C239" s="21" t="n">
        <f aca="false">Portfolio!D239</f>
        <v>15737</v>
      </c>
      <c r="D239" s="22" t="n">
        <f aca="false">Portfolio!G239</f>
        <v>0.0631793200474027</v>
      </c>
      <c r="E239" s="23" t="n">
        <f aca="false">Portfolio!E239</f>
        <v>0.179</v>
      </c>
      <c r="F239" s="17" t="n">
        <f aca="false">Portfolio!F239</f>
        <v>0</v>
      </c>
      <c r="G239" s="16" t="str">
        <f aca="false">IF(OR(F239&gt;='Cover &amp; Assumptions'!$C$22,Portfolio!I239=1),"Stage 3",IF(OR(F239&gt;=30,D239&gt;'Cover &amp; Assumptions'!$C$21),"Stage 2","Stage 1"))</f>
        <v>Stage 1</v>
      </c>
      <c r="H239" s="16" t="n">
        <f aca="false">IF(G239="Stage 1",12,MIN(Portfolio!H239,60))</f>
        <v>12</v>
      </c>
      <c r="I239" s="24" t="n">
        <f aca="false">1-(1-D239)^(H239/12)</f>
        <v>0.0631793200474027</v>
      </c>
      <c r="J239" s="24" t="n">
        <f aca="false">IF(G239="Stage 1",D239,I239)</f>
        <v>0.0631793200474027</v>
      </c>
      <c r="K239" s="25" t="n">
        <f aca="false">J239*'Cover &amp; Assumptions'!$D$11*E239*'Cover &amp; Assumptions'!$E$11*C239</f>
        <v>143.711808410956</v>
      </c>
      <c r="L239" s="25" t="n">
        <f aca="false">J239*'Cover &amp; Assumptions'!$D$12*E239*'Cover &amp; Assumptions'!$E$12*C239</f>
        <v>177.97127976589</v>
      </c>
      <c r="M239" s="25" t="n">
        <f aca="false">J239*'Cover &amp; Assumptions'!$D$13*E239*'Cover &amp; Assumptions'!$E$13*C239</f>
        <v>309.670026792648</v>
      </c>
      <c r="N239" s="25" t="n">
        <f aca="false">K239*'Cover &amp; Assumptions'!$C$11+L239*'Cover &amp; Assumptions'!$C$12+M239*'Cover &amp; Assumptions'!$C$13</f>
        <v>204.044072251593</v>
      </c>
    </row>
    <row r="240" customFormat="false" ht="15" hidden="false" customHeight="false" outlineLevel="0" collapsed="false">
      <c r="A240" s="17" t="str">
        <f aca="false">Portfolio!A240</f>
        <v>UKSME-102995</v>
      </c>
      <c r="B240" s="17" t="str">
        <f aca="false">Portfolio!B240</f>
        <v>Real Estate</v>
      </c>
      <c r="C240" s="21" t="n">
        <f aca="false">Portfolio!D240</f>
        <v>92601</v>
      </c>
      <c r="D240" s="22" t="n">
        <f aca="false">Portfolio!G240</f>
        <v>0.001</v>
      </c>
      <c r="E240" s="23" t="n">
        <f aca="false">Portfolio!E240</f>
        <v>0.157</v>
      </c>
      <c r="F240" s="17" t="n">
        <f aca="false">Portfolio!F240</f>
        <v>0</v>
      </c>
      <c r="G240" s="16" t="str">
        <f aca="false">IF(OR(F240&gt;='Cover &amp; Assumptions'!$C$22,Portfolio!I240=1),"Stage 3",IF(OR(F240&gt;=30,D240&gt;'Cover &amp; Assumptions'!$C$21),"Stage 2","Stage 1"))</f>
        <v>Stage 1</v>
      </c>
      <c r="H240" s="16" t="n">
        <f aca="false">IF(G240="Stage 1",12,MIN(Portfolio!H240,60))</f>
        <v>12</v>
      </c>
      <c r="I240" s="24" t="n">
        <f aca="false">1-(1-D240)^(H240/12)</f>
        <v>0.001</v>
      </c>
      <c r="J240" s="24" t="n">
        <f aca="false">IF(G240="Stage 1",D240,I240)</f>
        <v>0.001</v>
      </c>
      <c r="K240" s="25" t="n">
        <f aca="false">J240*'Cover &amp; Assumptions'!$D$11*E240*'Cover &amp; Assumptions'!$E$11*C240</f>
        <v>11.7397232775</v>
      </c>
      <c r="L240" s="25" t="n">
        <f aca="false">J240*'Cover &amp; Assumptions'!$D$12*E240*'Cover &amp; Assumptions'!$E$12*C240</f>
        <v>14.538357</v>
      </c>
      <c r="M240" s="25" t="n">
        <f aca="false">J240*'Cover &amp; Assumptions'!$D$13*E240*'Cover &amp; Assumptions'!$E$13*C240</f>
        <v>25.29674118</v>
      </c>
      <c r="N240" s="25" t="n">
        <f aca="false">K240*'Cover &amp; Assumptions'!$C$11+L240*'Cover &amp; Assumptions'!$C$12+M240*'Cover &amp; Assumptions'!$C$13</f>
        <v>16.6682263005</v>
      </c>
    </row>
    <row r="241" customFormat="false" ht="15" hidden="false" customHeight="false" outlineLevel="0" collapsed="false">
      <c r="A241" s="17" t="str">
        <f aca="false">Portfolio!A241</f>
        <v>UKSME-102856</v>
      </c>
      <c r="B241" s="17" t="str">
        <f aca="false">Portfolio!B241</f>
        <v>Wholesale</v>
      </c>
      <c r="C241" s="21" t="n">
        <f aca="false">Portfolio!D241</f>
        <v>70353</v>
      </c>
      <c r="D241" s="22" t="n">
        <f aca="false">Portfolio!G241</f>
        <v>0.208314066578005</v>
      </c>
      <c r="E241" s="23" t="n">
        <f aca="false">Portfolio!E241</f>
        <v>0.375</v>
      </c>
      <c r="F241" s="17" t="n">
        <f aca="false">Portfolio!F241</f>
        <v>0</v>
      </c>
      <c r="G241" s="16" t="str">
        <f aca="false">IF(OR(F241&gt;='Cover &amp; Assumptions'!$C$22,Portfolio!I241=1),"Stage 3",IF(OR(F241&gt;=30,D241&gt;'Cover &amp; Assumptions'!$C$21),"Stage 2","Stage 1"))</f>
        <v>Stage 3</v>
      </c>
      <c r="H241" s="16" t="n">
        <f aca="false">IF(G241="Stage 1",12,MIN(Portfolio!H241,60))</f>
        <v>36</v>
      </c>
      <c r="I241" s="24" t="n">
        <f aca="false">1-(1-D241)^(H241/12)</f>
        <v>0.503797685641487</v>
      </c>
      <c r="J241" s="24" t="n">
        <f aca="false">IF(G241="Stage 1",D241,I241)</f>
        <v>0.503797685641487</v>
      </c>
      <c r="K241" s="25" t="n">
        <f aca="false">J241*'Cover &amp; Assumptions'!$D$11*E241*'Cover &amp; Assumptions'!$E$11*C241</f>
        <v>10732.7889193811</v>
      </c>
      <c r="L241" s="25" t="n">
        <f aca="false">J241*'Cover &amp; Assumptions'!$D$12*E241*'Cover &amp; Assumptions'!$E$12*C241</f>
        <v>13291.3794667258</v>
      </c>
      <c r="M241" s="25" t="n">
        <f aca="false">J241*'Cover &amp; Assumptions'!$D$13*E241*'Cover &amp; Assumptions'!$E$13*C241</f>
        <v>23127.0002721029</v>
      </c>
      <c r="N241" s="25" t="n">
        <f aca="false">K241*'Cover &amp; Assumptions'!$C$11+L241*'Cover &amp; Assumptions'!$C$12+M241*'Cover &amp; Assumptions'!$C$13</f>
        <v>15238.5665586011</v>
      </c>
    </row>
    <row r="242" customFormat="false" ht="15" hidden="false" customHeight="false" outlineLevel="0" collapsed="false">
      <c r="A242" s="17" t="str">
        <f aca="false">Portfolio!A242</f>
        <v>UKSME-104690</v>
      </c>
      <c r="B242" s="17" t="str">
        <f aca="false">Portfolio!B242</f>
        <v>Wholesale</v>
      </c>
      <c r="C242" s="21" t="n">
        <f aca="false">Portfolio!D242</f>
        <v>130868</v>
      </c>
      <c r="D242" s="22" t="n">
        <f aca="false">Portfolio!G242</f>
        <v>0.14463688328198</v>
      </c>
      <c r="E242" s="23" t="n">
        <f aca="false">Portfolio!E242</f>
        <v>0.198</v>
      </c>
      <c r="F242" s="17" t="n">
        <f aca="false">Portfolio!F242</f>
        <v>5</v>
      </c>
      <c r="G242" s="16" t="str">
        <f aca="false">IF(OR(F242&gt;='Cover &amp; Assumptions'!$C$22,Portfolio!I242=1),"Stage 3",IF(OR(F242&gt;=30,D242&gt;'Cover &amp; Assumptions'!$C$21),"Stage 2","Stage 1"))</f>
        <v>Stage 1</v>
      </c>
      <c r="H242" s="16" t="n">
        <f aca="false">IF(G242="Stage 1",12,MIN(Portfolio!H242,60))</f>
        <v>12</v>
      </c>
      <c r="I242" s="24" t="n">
        <f aca="false">1-(1-D242)^(H242/12)</f>
        <v>0.14463688328198</v>
      </c>
      <c r="J242" s="24" t="n">
        <f aca="false">IF(G242="Stage 1",D242,I242)</f>
        <v>0.14463688328198</v>
      </c>
      <c r="K242" s="25" t="n">
        <f aca="false">J242*'Cover &amp; Assumptions'!$D$11*E242*'Cover &amp; Assumptions'!$E$11*C242</f>
        <v>3026.35758355664</v>
      </c>
      <c r="L242" s="25" t="n">
        <f aca="false">J242*'Cover &amp; Assumptions'!$D$12*E242*'Cover &amp; Assumptions'!$E$12*C242</f>
        <v>3747.81124898655</v>
      </c>
      <c r="M242" s="25" t="n">
        <f aca="false">J242*'Cover &amp; Assumptions'!$D$13*E242*'Cover &amp; Assumptions'!$E$13*C242</f>
        <v>6521.19157323659</v>
      </c>
      <c r="N242" s="25" t="n">
        <f aca="false">K242*'Cover &amp; Assumptions'!$C$11+L242*'Cover &amp; Assumptions'!$C$12+M242*'Cover &amp; Assumptions'!$C$13</f>
        <v>4296.86559696308</v>
      </c>
    </row>
    <row r="243" customFormat="false" ht="15" hidden="false" customHeight="false" outlineLevel="0" collapsed="false">
      <c r="A243" s="17" t="str">
        <f aca="false">Portfolio!A243</f>
        <v>UKSME-108553</v>
      </c>
      <c r="B243" s="17" t="str">
        <f aca="false">Portfolio!B243</f>
        <v>Construction</v>
      </c>
      <c r="C243" s="21" t="n">
        <f aca="false">Portfolio!D243</f>
        <v>160772</v>
      </c>
      <c r="D243" s="22" t="n">
        <f aca="false">Portfolio!G243</f>
        <v>0.0138237858111218</v>
      </c>
      <c r="E243" s="23" t="n">
        <f aca="false">Portfolio!E243</f>
        <v>0.492</v>
      </c>
      <c r="F243" s="17" t="n">
        <f aca="false">Portfolio!F243</f>
        <v>0</v>
      </c>
      <c r="G243" s="16" t="str">
        <f aca="false">IF(OR(F243&gt;='Cover &amp; Assumptions'!$C$22,Portfolio!I243=1),"Stage 3",IF(OR(F243&gt;=30,D243&gt;'Cover &amp; Assumptions'!$C$21),"Stage 2","Stage 1"))</f>
        <v>Stage 1</v>
      </c>
      <c r="H243" s="16" t="n">
        <f aca="false">IF(G243="Stage 1",12,MIN(Portfolio!H243,60))</f>
        <v>12</v>
      </c>
      <c r="I243" s="24" t="n">
        <f aca="false">1-(1-D243)^(H243/12)</f>
        <v>0.0138237858111218</v>
      </c>
      <c r="J243" s="24" t="n">
        <f aca="false">IF(G243="Stage 1",D243,I243)</f>
        <v>0.0138237858111218</v>
      </c>
      <c r="K243" s="25" t="n">
        <f aca="false">J243*'Cover &amp; Assumptions'!$D$11*E243*'Cover &amp; Assumptions'!$E$11*C243</f>
        <v>882.968162423796</v>
      </c>
      <c r="L243" s="25" t="n">
        <f aca="false">J243*'Cover &amp; Assumptions'!$D$12*E243*'Cover &amp; Assumptions'!$E$12*C243</f>
        <v>1093.45902467343</v>
      </c>
      <c r="M243" s="25" t="n">
        <f aca="false">J243*'Cover &amp; Assumptions'!$D$13*E243*'Cover &amp; Assumptions'!$E$13*C243</f>
        <v>1902.61870293177</v>
      </c>
      <c r="N243" s="25" t="n">
        <f aca="false">K243*'Cover &amp; Assumptions'!$C$11+L243*'Cover &amp; Assumptions'!$C$12+M243*'Cover &amp; Assumptions'!$C$13</f>
        <v>1253.65077178809</v>
      </c>
    </row>
    <row r="244" customFormat="false" ht="15" hidden="false" customHeight="false" outlineLevel="0" collapsed="false">
      <c r="A244" s="17" t="str">
        <f aca="false">Portfolio!A244</f>
        <v>UKSME-101944</v>
      </c>
      <c r="B244" s="17" t="str">
        <f aca="false">Portfolio!B244</f>
        <v>Retail</v>
      </c>
      <c r="C244" s="21" t="n">
        <f aca="false">Portfolio!D244</f>
        <v>191186</v>
      </c>
      <c r="D244" s="22" t="n">
        <f aca="false">Portfolio!G244</f>
        <v>0.249978004704299</v>
      </c>
      <c r="E244" s="23" t="n">
        <f aca="false">Portfolio!E244</f>
        <v>0.14</v>
      </c>
      <c r="F244" s="17" t="n">
        <f aca="false">Portfolio!F244</f>
        <v>0</v>
      </c>
      <c r="G244" s="16" t="str">
        <f aca="false">IF(OR(F244&gt;='Cover &amp; Assumptions'!$C$22,Portfolio!I244=1),"Stage 3",IF(OR(F244&gt;=30,D244&gt;'Cover &amp; Assumptions'!$C$21),"Stage 2","Stage 1"))</f>
        <v>Stage 2</v>
      </c>
      <c r="H244" s="16" t="n">
        <f aca="false">IF(G244="Stage 1",12,MIN(Portfolio!H244,60))</f>
        <v>48</v>
      </c>
      <c r="I244" s="24" t="n">
        <f aca="false">1-(1-D244)^(H244/12)</f>
        <v>0.683556631305671</v>
      </c>
      <c r="J244" s="24" t="n">
        <f aca="false">IF(G244="Stage 1",D244,I244)</f>
        <v>0.683556631305671</v>
      </c>
      <c r="K244" s="25" t="n">
        <f aca="false">J244*'Cover &amp; Assumptions'!$D$11*E244*'Cover &amp; Assumptions'!$E$11*C244</f>
        <v>14774.1040896527</v>
      </c>
      <c r="L244" s="25" t="n">
        <f aca="false">J244*'Cover &amp; Assumptions'!$D$12*E244*'Cover &amp; Assumptions'!$E$12*C244</f>
        <v>18296.1041357928</v>
      </c>
      <c r="M244" s="25" t="n">
        <f aca="false">J244*'Cover &amp; Assumptions'!$D$13*E244*'Cover &amp; Assumptions'!$E$13*C244</f>
        <v>31835.2211962795</v>
      </c>
      <c r="N244" s="25" t="n">
        <f aca="false">K244*'Cover &amp; Assumptions'!$C$11+L244*'Cover &amp; Assumptions'!$C$12+M244*'Cover &amp; Assumptions'!$C$13</f>
        <v>20976.4833916865</v>
      </c>
    </row>
    <row r="245" customFormat="false" ht="15" hidden="false" customHeight="false" outlineLevel="0" collapsed="false">
      <c r="A245" s="17" t="str">
        <f aca="false">Portfolio!A245</f>
        <v>UKSME-109024</v>
      </c>
      <c r="B245" s="17" t="str">
        <f aca="false">Portfolio!B245</f>
        <v>Wholesale</v>
      </c>
      <c r="C245" s="21" t="n">
        <f aca="false">Portfolio!D245</f>
        <v>218234</v>
      </c>
      <c r="D245" s="22" t="n">
        <f aca="false">Portfolio!G245</f>
        <v>0.156862425667296</v>
      </c>
      <c r="E245" s="23" t="n">
        <f aca="false">Portfolio!E245</f>
        <v>0.69</v>
      </c>
      <c r="F245" s="17" t="n">
        <f aca="false">Portfolio!F245</f>
        <v>0</v>
      </c>
      <c r="G245" s="16" t="str">
        <f aca="false">IF(OR(F245&gt;='Cover &amp; Assumptions'!$C$22,Portfolio!I245=1),"Stage 3",IF(OR(F245&gt;=30,D245&gt;'Cover &amp; Assumptions'!$C$21),"Stage 2","Stage 1"))</f>
        <v>Stage 2</v>
      </c>
      <c r="H245" s="16" t="n">
        <f aca="false">IF(G245="Stage 1",12,MIN(Portfolio!H245,60))</f>
        <v>12</v>
      </c>
      <c r="I245" s="24" t="n">
        <f aca="false">1-(1-D245)^(H245/12)</f>
        <v>0.156862425667296</v>
      </c>
      <c r="J245" s="24" t="n">
        <f aca="false">IF(G245="Stage 1",D245,I245)</f>
        <v>0.156862425667296</v>
      </c>
      <c r="K245" s="25" t="n">
        <f aca="false">J245*'Cover &amp; Assumptions'!$D$11*E245*'Cover &amp; Assumptions'!$E$11*C245</f>
        <v>19073.6127589692</v>
      </c>
      <c r="L245" s="25" t="n">
        <f aca="false">J245*'Cover &amp; Assumptions'!$D$12*E245*'Cover &amp; Assumptions'!$E$12*C245</f>
        <v>23620.5730761229</v>
      </c>
      <c r="M245" s="25" t="n">
        <f aca="false">J245*'Cover &amp; Assumptions'!$D$13*E245*'Cover &amp; Assumptions'!$E$13*C245</f>
        <v>41099.7971524538</v>
      </c>
      <c r="N245" s="25" t="n">
        <f aca="false">K245*'Cover &amp; Assumptions'!$C$11+L245*'Cover &amp; Assumptions'!$C$12+M245*'Cover &amp; Assumptions'!$C$13</f>
        <v>27080.9870317749</v>
      </c>
    </row>
    <row r="246" customFormat="false" ht="15" hidden="false" customHeight="false" outlineLevel="0" collapsed="false">
      <c r="A246" s="17" t="str">
        <f aca="false">Portfolio!A246</f>
        <v>UKSME-108270</v>
      </c>
      <c r="B246" s="17" t="str">
        <f aca="false">Portfolio!B246</f>
        <v>Healthcare</v>
      </c>
      <c r="C246" s="21" t="n">
        <f aca="false">Portfolio!D246</f>
        <v>81550</v>
      </c>
      <c r="D246" s="22" t="n">
        <f aca="false">Portfolio!G246</f>
        <v>0.108690949004323</v>
      </c>
      <c r="E246" s="23" t="n">
        <f aca="false">Portfolio!E246</f>
        <v>0.461</v>
      </c>
      <c r="F246" s="17" t="n">
        <f aca="false">Portfolio!F246</f>
        <v>0</v>
      </c>
      <c r="G246" s="16" t="str">
        <f aca="false">IF(OR(F246&gt;='Cover &amp; Assumptions'!$C$22,Portfolio!I246=1),"Stage 3",IF(OR(F246&gt;=30,D246&gt;'Cover &amp; Assumptions'!$C$21),"Stage 2","Stage 1"))</f>
        <v>Stage 1</v>
      </c>
      <c r="H246" s="16" t="n">
        <f aca="false">IF(G246="Stage 1",12,MIN(Portfolio!H246,60))</f>
        <v>12</v>
      </c>
      <c r="I246" s="24" t="n">
        <f aca="false">1-(1-D246)^(H246/12)</f>
        <v>0.108690949004323</v>
      </c>
      <c r="J246" s="24" t="n">
        <f aca="false">IF(G246="Stage 1",D246,I246)</f>
        <v>0.108690949004323</v>
      </c>
      <c r="K246" s="25" t="n">
        <f aca="false">J246*'Cover &amp; Assumptions'!$D$11*E246*'Cover &amp; Assumptions'!$E$11*C246</f>
        <v>3299.59625838904</v>
      </c>
      <c r="L246" s="25" t="n">
        <f aca="false">J246*'Cover &amp; Assumptions'!$D$12*E246*'Cover &amp; Assumptions'!$E$12*C246</f>
        <v>4086.18731689046</v>
      </c>
      <c r="M246" s="25" t="n">
        <f aca="false">J246*'Cover &amp; Assumptions'!$D$13*E246*'Cover &amp; Assumptions'!$E$13*C246</f>
        <v>7109.96593138939</v>
      </c>
      <c r="N246" s="25" t="n">
        <f aca="false">K246*'Cover &amp; Assumptions'!$C$11+L246*'Cover &amp; Assumptions'!$C$12+M246*'Cover &amp; Assumptions'!$C$13</f>
        <v>4684.81375881491</v>
      </c>
    </row>
    <row r="247" customFormat="false" ht="15" hidden="false" customHeight="false" outlineLevel="0" collapsed="false">
      <c r="A247" s="17" t="str">
        <f aca="false">Portfolio!A247</f>
        <v>UKSME-107992</v>
      </c>
      <c r="B247" s="17" t="str">
        <f aca="false">Portfolio!B247</f>
        <v>Professional Services</v>
      </c>
      <c r="C247" s="21" t="n">
        <f aca="false">Portfolio!D247</f>
        <v>15679</v>
      </c>
      <c r="D247" s="22" t="n">
        <f aca="false">Portfolio!G247</f>
        <v>0.150079670880923</v>
      </c>
      <c r="E247" s="23" t="n">
        <f aca="false">Portfolio!E247</f>
        <v>0.358</v>
      </c>
      <c r="F247" s="17" t="n">
        <f aca="false">Portfolio!F247</f>
        <v>0</v>
      </c>
      <c r="G247" s="16" t="str">
        <f aca="false">IF(OR(F247&gt;='Cover &amp; Assumptions'!$C$22,Portfolio!I247=1),"Stage 3",IF(OR(F247&gt;=30,D247&gt;'Cover &amp; Assumptions'!$C$21),"Stage 2","Stage 1"))</f>
        <v>Stage 2</v>
      </c>
      <c r="H247" s="16" t="n">
        <f aca="false">IF(G247="Stage 1",12,MIN(Portfolio!H247,60))</f>
        <v>60</v>
      </c>
      <c r="I247" s="24" t="n">
        <f aca="false">1-(1-D247)^(H247/12)</f>
        <v>0.556502592011304</v>
      </c>
      <c r="J247" s="24" t="n">
        <f aca="false">IF(G247="Stage 1",D247,I247)</f>
        <v>0.556502592011304</v>
      </c>
      <c r="K247" s="25" t="n">
        <f aca="false">J247*'Cover &amp; Assumptions'!$D$11*E247*'Cover &amp; Assumptions'!$E$11*C247</f>
        <v>2522.38345585388</v>
      </c>
      <c r="L247" s="25" t="n">
        <f aca="false">J247*'Cover &amp; Assumptions'!$D$12*E247*'Cover &amp; Assumptions'!$E$12*C247</f>
        <v>3123.69468217199</v>
      </c>
      <c r="M247" s="25" t="n">
        <f aca="false">J247*'Cover &amp; Assumptions'!$D$13*E247*'Cover &amp; Assumptions'!$E$13*C247</f>
        <v>5435.22874697927</v>
      </c>
      <c r="N247" s="25" t="n">
        <f aca="false">K247*'Cover &amp; Assumptions'!$C$11+L247*'Cover &amp; Assumptions'!$C$12+M247*'Cover &amp; Assumptions'!$C$13</f>
        <v>3581.31595311019</v>
      </c>
    </row>
    <row r="248" customFormat="false" ht="15" hidden="false" customHeight="false" outlineLevel="0" collapsed="false">
      <c r="A248" s="17" t="str">
        <f aca="false">Portfolio!A248</f>
        <v>UKSME-106989</v>
      </c>
      <c r="B248" s="17" t="str">
        <f aca="false">Portfolio!B248</f>
        <v>Manufacturing</v>
      </c>
      <c r="C248" s="21" t="n">
        <f aca="false">Portfolio!D248</f>
        <v>56427</v>
      </c>
      <c r="D248" s="22" t="n">
        <f aca="false">Portfolio!G248</f>
        <v>0.176241690304231</v>
      </c>
      <c r="E248" s="23" t="n">
        <f aca="false">Portfolio!E248</f>
        <v>0.825</v>
      </c>
      <c r="F248" s="17" t="n">
        <f aca="false">Portfolio!F248</f>
        <v>0</v>
      </c>
      <c r="G248" s="16" t="str">
        <f aca="false">IF(OR(F248&gt;='Cover &amp; Assumptions'!$C$22,Portfolio!I248=1),"Stage 3",IF(OR(F248&gt;=30,D248&gt;'Cover &amp; Assumptions'!$C$21),"Stage 2","Stage 1"))</f>
        <v>Stage 2</v>
      </c>
      <c r="H248" s="16" t="n">
        <f aca="false">IF(G248="Stage 1",12,MIN(Portfolio!H248,60))</f>
        <v>36</v>
      </c>
      <c r="I248" s="24" t="n">
        <f aca="false">1-(1-D248)^(H248/12)</f>
        <v>0.441015937362225</v>
      </c>
      <c r="J248" s="24" t="n">
        <f aca="false">IF(G248="Stage 1",D248,I248)</f>
        <v>0.441015937362225</v>
      </c>
      <c r="K248" s="25" t="n">
        <f aca="false">J248*'Cover &amp; Assumptions'!$D$11*E248*'Cover &amp; Assumptions'!$E$11*C248</f>
        <v>16578.2133703413</v>
      </c>
      <c r="L248" s="25" t="n">
        <f aca="false">J248*'Cover &amp; Assumptions'!$D$12*E248*'Cover &amp; Assumptions'!$E$12*C248</f>
        <v>20530.2951954691</v>
      </c>
      <c r="M248" s="25" t="n">
        <f aca="false">J248*'Cover &amp; Assumptions'!$D$13*E248*'Cover &amp; Assumptions'!$E$13*C248</f>
        <v>35722.7136401162</v>
      </c>
      <c r="N248" s="25" t="n">
        <f aca="false">K248*'Cover &amp; Assumptions'!$C$11+L248*'Cover &amp; Assumptions'!$C$12+M248*'Cover &amp; Assumptions'!$C$13</f>
        <v>23537.9834416053</v>
      </c>
    </row>
    <row r="249" customFormat="false" ht="15" hidden="false" customHeight="false" outlineLevel="0" collapsed="false">
      <c r="A249" s="17" t="str">
        <f aca="false">Portfolio!A249</f>
        <v>UKSME-104364</v>
      </c>
      <c r="B249" s="17" t="str">
        <f aca="false">Portfolio!B249</f>
        <v>Transport</v>
      </c>
      <c r="C249" s="21" t="n">
        <f aca="false">Portfolio!D249</f>
        <v>100968</v>
      </c>
      <c r="D249" s="22" t="n">
        <f aca="false">Portfolio!G249</f>
        <v>0.0919300555637299</v>
      </c>
      <c r="E249" s="23" t="n">
        <f aca="false">Portfolio!E249</f>
        <v>0.659</v>
      </c>
      <c r="F249" s="17" t="n">
        <f aca="false">Portfolio!F249</f>
        <v>0</v>
      </c>
      <c r="G249" s="16" t="str">
        <f aca="false">IF(OR(F249&gt;='Cover &amp; Assumptions'!$C$22,Portfolio!I249=1),"Stage 3",IF(OR(F249&gt;=30,D249&gt;'Cover &amp; Assumptions'!$C$21),"Stage 2","Stage 1"))</f>
        <v>Stage 1</v>
      </c>
      <c r="H249" s="16" t="n">
        <f aca="false">IF(G249="Stage 1",12,MIN(Portfolio!H249,60))</f>
        <v>12</v>
      </c>
      <c r="I249" s="24" t="n">
        <f aca="false">1-(1-D249)^(H249/12)</f>
        <v>0.0919300555637299</v>
      </c>
      <c r="J249" s="24" t="n">
        <f aca="false">IF(G249="Stage 1",D249,I249)</f>
        <v>0.0919300555637299</v>
      </c>
      <c r="K249" s="25" t="n">
        <f aca="false">J249*'Cover &amp; Assumptions'!$D$11*E249*'Cover &amp; Assumptions'!$E$11*C249</f>
        <v>4939.34341240807</v>
      </c>
      <c r="L249" s="25" t="n">
        <f aca="false">J249*'Cover &amp; Assumptions'!$D$12*E249*'Cover &amp; Assumptions'!$E$12*C249</f>
        <v>6116.83394725457</v>
      </c>
      <c r="M249" s="25" t="n">
        <f aca="false">J249*'Cover &amp; Assumptions'!$D$13*E249*'Cover &amp; Assumptions'!$E$13*C249</f>
        <v>10643.291068223</v>
      </c>
      <c r="N249" s="25" t="n">
        <f aca="false">K249*'Cover &amp; Assumptions'!$C$11+L249*'Cover &amp; Assumptions'!$C$12+M249*'Cover &amp; Assumptions'!$C$13</f>
        <v>7012.95012052737</v>
      </c>
    </row>
    <row r="250" customFormat="false" ht="15" hidden="false" customHeight="false" outlineLevel="0" collapsed="false">
      <c r="A250" s="17" t="str">
        <f aca="false">Portfolio!A250</f>
        <v>UKSME-109604</v>
      </c>
      <c r="B250" s="17" t="str">
        <f aca="false">Portfolio!B250</f>
        <v>Healthcare</v>
      </c>
      <c r="C250" s="21" t="n">
        <f aca="false">Portfolio!D250</f>
        <v>27656</v>
      </c>
      <c r="D250" s="22" t="n">
        <f aca="false">Portfolio!G250</f>
        <v>0.160002050315394</v>
      </c>
      <c r="E250" s="23" t="n">
        <f aca="false">Portfolio!E250</f>
        <v>0.094</v>
      </c>
      <c r="F250" s="17" t="n">
        <f aca="false">Portfolio!F250</f>
        <v>0</v>
      </c>
      <c r="G250" s="16" t="str">
        <f aca="false">IF(OR(F250&gt;='Cover &amp; Assumptions'!$C$22,Portfolio!I250=1),"Stage 3",IF(OR(F250&gt;=30,D250&gt;'Cover &amp; Assumptions'!$C$21),"Stage 2","Stage 1"))</f>
        <v>Stage 3</v>
      </c>
      <c r="H250" s="16" t="n">
        <f aca="false">IF(G250="Stage 1",12,MIN(Portfolio!H250,60))</f>
        <v>60</v>
      </c>
      <c r="I250" s="24" t="n">
        <f aca="false">1-(1-D250)^(H250/12)</f>
        <v>0.581793161541653</v>
      </c>
      <c r="J250" s="24" t="n">
        <f aca="false">IF(G250="Stage 1",D250,I250)</f>
        <v>0.581793161541653</v>
      </c>
      <c r="K250" s="25" t="n">
        <f aca="false">J250*'Cover &amp; Assumptions'!$D$11*E250*'Cover &amp; Assumptions'!$E$11*C250</f>
        <v>1221.31689053611</v>
      </c>
      <c r="L250" s="25" t="n">
        <f aca="false">J250*'Cover &amp; Assumptions'!$D$12*E250*'Cover &amp; Assumptions'!$E$12*C250</f>
        <v>1512.46673750602</v>
      </c>
      <c r="M250" s="25" t="n">
        <f aca="false">J250*'Cover &amp; Assumptions'!$D$13*E250*'Cover &amp; Assumptions'!$E$13*C250</f>
        <v>2631.69212326047</v>
      </c>
      <c r="N250" s="25" t="n">
        <f aca="false">K250*'Cover &amp; Assumptions'!$C$11+L250*'Cover &amp; Assumptions'!$C$12+M250*'Cover &amp; Assumptions'!$C$13</f>
        <v>1734.04311455065</v>
      </c>
    </row>
    <row r="251" customFormat="false" ht="15" hidden="false" customHeight="false" outlineLevel="0" collapsed="false">
      <c r="A251" s="17" t="str">
        <f aca="false">Portfolio!A251</f>
        <v>UKSME-109343</v>
      </c>
      <c r="B251" s="17" t="str">
        <f aca="false">Portfolio!B251</f>
        <v>Retail</v>
      </c>
      <c r="C251" s="21" t="n">
        <f aca="false">Portfolio!D251</f>
        <v>40800</v>
      </c>
      <c r="D251" s="22" t="n">
        <f aca="false">Portfolio!G251</f>
        <v>0.0893282859592374</v>
      </c>
      <c r="E251" s="23" t="n">
        <f aca="false">Portfolio!E251</f>
        <v>0.151</v>
      </c>
      <c r="F251" s="17" t="n">
        <f aca="false">Portfolio!F251</f>
        <v>0</v>
      </c>
      <c r="G251" s="16" t="str">
        <f aca="false">IF(OR(F251&gt;='Cover &amp; Assumptions'!$C$22,Portfolio!I251=1),"Stage 3",IF(OR(F251&gt;=30,D251&gt;'Cover &amp; Assumptions'!$C$21),"Stage 2","Stage 1"))</f>
        <v>Stage 1</v>
      </c>
      <c r="H251" s="16" t="n">
        <f aca="false">IF(G251="Stage 1",12,MIN(Portfolio!H251,60))</f>
        <v>12</v>
      </c>
      <c r="I251" s="24" t="n">
        <f aca="false">1-(1-D251)^(H251/12)</f>
        <v>0.0893282859592374</v>
      </c>
      <c r="J251" s="24" t="n">
        <f aca="false">IF(G251="Stage 1",D251,I251)</f>
        <v>0.0893282859592374</v>
      </c>
      <c r="K251" s="25" t="n">
        <f aca="false">J251*'Cover &amp; Assumptions'!$D$11*E251*'Cover &amp; Assumptions'!$E$11*C251</f>
        <v>444.394466091168</v>
      </c>
      <c r="L251" s="25" t="n">
        <f aca="false">J251*'Cover &amp; Assumptions'!$D$12*E251*'Cover &amp; Assumptions'!$E$12*C251</f>
        <v>550.33370413767</v>
      </c>
      <c r="M251" s="25" t="n">
        <f aca="false">J251*'Cover &amp; Assumptions'!$D$13*E251*'Cover &amp; Assumptions'!$E$13*C251</f>
        <v>957.580645199545</v>
      </c>
      <c r="N251" s="25" t="n">
        <f aca="false">K251*'Cover &amp; Assumptions'!$C$11+L251*'Cover &amp; Assumptions'!$C$12+M251*'Cover &amp; Assumptions'!$C$13</f>
        <v>630.957591793838</v>
      </c>
    </row>
    <row r="252" customFormat="false" ht="15" hidden="false" customHeight="false" outlineLevel="0" collapsed="false">
      <c r="A252" s="17" t="str">
        <f aca="false">Portfolio!A252</f>
        <v>UKSME-104003</v>
      </c>
      <c r="B252" s="17" t="str">
        <f aca="false">Portfolio!B252</f>
        <v>Transport</v>
      </c>
      <c r="C252" s="21" t="n">
        <f aca="false">Portfolio!D252</f>
        <v>23027</v>
      </c>
      <c r="D252" s="22" t="n">
        <f aca="false">Portfolio!G252</f>
        <v>0.172478023980406</v>
      </c>
      <c r="E252" s="23" t="n">
        <f aca="false">Portfolio!E252</f>
        <v>0.333</v>
      </c>
      <c r="F252" s="17" t="n">
        <f aca="false">Portfolio!F252</f>
        <v>0</v>
      </c>
      <c r="G252" s="16" t="str">
        <f aca="false">IF(OR(F252&gt;='Cover &amp; Assumptions'!$C$22,Portfolio!I252=1),"Stage 3",IF(OR(F252&gt;=30,D252&gt;'Cover &amp; Assumptions'!$C$21),"Stage 2","Stage 1"))</f>
        <v>Stage 2</v>
      </c>
      <c r="H252" s="16" t="n">
        <f aca="false">IF(G252="Stage 1",12,MIN(Portfolio!H252,60))</f>
        <v>60</v>
      </c>
      <c r="I252" s="24" t="n">
        <f aca="false">1-(1-D252)^(H252/12)</f>
        <v>0.611941072077086</v>
      </c>
      <c r="J252" s="24" t="n">
        <f aca="false">IF(G252="Stage 1",D252,I252)</f>
        <v>0.611941072077086</v>
      </c>
      <c r="K252" s="25" t="n">
        <f aca="false">J252*'Cover &amp; Assumptions'!$D$11*E252*'Cover &amp; Assumptions'!$E$11*C252</f>
        <v>3789.07959632309</v>
      </c>
      <c r="L252" s="25" t="n">
        <f aca="false">J252*'Cover &amp; Assumptions'!$D$12*E252*'Cover &amp; Assumptions'!$E$12*C252</f>
        <v>4692.35863321745</v>
      </c>
      <c r="M252" s="25" t="n">
        <f aca="false">J252*'Cover &amp; Assumptions'!$D$13*E252*'Cover &amp; Assumptions'!$E$13*C252</f>
        <v>8164.70402179836</v>
      </c>
      <c r="N252" s="25" t="n">
        <f aca="false">K252*'Cover &amp; Assumptions'!$C$11+L252*'Cover &amp; Assumptions'!$C$12+M252*'Cover &amp; Assumptions'!$C$13</f>
        <v>5379.78917298381</v>
      </c>
    </row>
    <row r="253" customFormat="false" ht="15" hidden="false" customHeight="false" outlineLevel="0" collapsed="false">
      <c r="A253" s="17" t="str">
        <f aca="false">Portfolio!A253</f>
        <v>UKSME-103414</v>
      </c>
      <c r="B253" s="17" t="str">
        <f aca="false">Portfolio!B253</f>
        <v>Transport</v>
      </c>
      <c r="C253" s="21" t="n">
        <f aca="false">Portfolio!D253</f>
        <v>18052</v>
      </c>
      <c r="D253" s="22" t="n">
        <f aca="false">Portfolio!G253</f>
        <v>0.16592048664966</v>
      </c>
      <c r="E253" s="23" t="n">
        <f aca="false">Portfolio!E253</f>
        <v>0.319</v>
      </c>
      <c r="F253" s="17" t="n">
        <f aca="false">Portfolio!F253</f>
        <v>0</v>
      </c>
      <c r="G253" s="16" t="str">
        <f aca="false">IF(OR(F253&gt;='Cover &amp; Assumptions'!$C$22,Portfolio!I253=1),"Stage 3",IF(OR(F253&gt;=30,D253&gt;'Cover &amp; Assumptions'!$C$21),"Stage 2","Stage 1"))</f>
        <v>Stage 2</v>
      </c>
      <c r="H253" s="16" t="n">
        <f aca="false">IF(G253="Stage 1",12,MIN(Portfolio!H253,60))</f>
        <v>60</v>
      </c>
      <c r="I253" s="24" t="n">
        <f aca="false">1-(1-D253)^(H253/12)</f>
        <v>0.596319964882763</v>
      </c>
      <c r="J253" s="24" t="n">
        <f aca="false">IF(G253="Stage 1",D253,I253)</f>
        <v>0.596319964882763</v>
      </c>
      <c r="K253" s="25" t="n">
        <f aca="false">J253*'Cover &amp; Assumptions'!$D$11*E253*'Cover &amp; Assumptions'!$E$11*C253</f>
        <v>2772.92350260195</v>
      </c>
      <c r="L253" s="25" t="n">
        <f aca="false">J253*'Cover &amp; Assumptions'!$D$12*E253*'Cover &amp; Assumptions'!$E$12*C253</f>
        <v>3433.9609939343</v>
      </c>
      <c r="M253" s="25" t="n">
        <f aca="false">J253*'Cover &amp; Assumptions'!$D$13*E253*'Cover &amp; Assumptions'!$E$13*C253</f>
        <v>5975.09212944568</v>
      </c>
      <c r="N253" s="25" t="n">
        <f aca="false">K253*'Cover &amp; Assumptions'!$C$11+L253*'Cover &amp; Assumptions'!$C$12+M253*'Cover &amp; Assumptions'!$C$13</f>
        <v>3937.03627954567</v>
      </c>
    </row>
    <row r="254" customFormat="false" ht="15" hidden="false" customHeight="false" outlineLevel="0" collapsed="false">
      <c r="A254" s="17" t="str">
        <f aca="false">Portfolio!A254</f>
        <v>UKSME-102406</v>
      </c>
      <c r="B254" s="17" t="str">
        <f aca="false">Portfolio!B254</f>
        <v>Manufacturing</v>
      </c>
      <c r="C254" s="21" t="n">
        <f aca="false">Portfolio!D254</f>
        <v>86661</v>
      </c>
      <c r="D254" s="22" t="n">
        <f aca="false">Portfolio!G254</f>
        <v>0.158521914937284</v>
      </c>
      <c r="E254" s="23" t="n">
        <f aca="false">Portfolio!E254</f>
        <v>0.328</v>
      </c>
      <c r="F254" s="17" t="n">
        <f aca="false">Portfolio!F254</f>
        <v>0</v>
      </c>
      <c r="G254" s="16" t="str">
        <f aca="false">IF(OR(F254&gt;='Cover &amp; Assumptions'!$C$22,Portfolio!I254=1),"Stage 3",IF(OR(F254&gt;=30,D254&gt;'Cover &amp; Assumptions'!$C$21),"Stage 2","Stage 1"))</f>
        <v>Stage 2</v>
      </c>
      <c r="H254" s="16" t="n">
        <f aca="false">IF(G254="Stage 1",12,MIN(Portfolio!H254,60))</f>
        <v>60</v>
      </c>
      <c r="I254" s="24" t="n">
        <f aca="false">1-(1-D254)^(H254/12)</f>
        <v>0.578095604678268</v>
      </c>
      <c r="J254" s="24" t="n">
        <f aca="false">IF(G254="Stage 1",D254,I254)</f>
        <v>0.578095604678268</v>
      </c>
      <c r="K254" s="25" t="n">
        <f aca="false">J254*'Cover &amp; Assumptions'!$D$11*E254*'Cover &amp; Assumptions'!$E$11*C254</f>
        <v>13269.0471791636</v>
      </c>
      <c r="L254" s="25" t="n">
        <f aca="false">J254*'Cover &amp; Assumptions'!$D$12*E254*'Cover &amp; Assumptions'!$E$12*C254</f>
        <v>16432.2565686237</v>
      </c>
      <c r="M254" s="25" t="n">
        <f aca="false">J254*'Cover &amp; Assumptions'!$D$13*E254*'Cover &amp; Assumptions'!$E$13*C254</f>
        <v>28592.1264294052</v>
      </c>
      <c r="N254" s="25" t="n">
        <f aca="false">K254*'Cover &amp; Assumptions'!$C$11+L254*'Cover &amp; Assumptions'!$C$12+M254*'Cover &amp; Assumptions'!$C$13</f>
        <v>18839.582155927</v>
      </c>
    </row>
    <row r="255" customFormat="false" ht="15" hidden="false" customHeight="false" outlineLevel="0" collapsed="false">
      <c r="A255" s="17" t="str">
        <f aca="false">Portfolio!A255</f>
        <v>UKSME-102350</v>
      </c>
      <c r="B255" s="17" t="str">
        <f aca="false">Portfolio!B255</f>
        <v>Transport</v>
      </c>
      <c r="C255" s="21" t="n">
        <f aca="false">Portfolio!D255</f>
        <v>111180</v>
      </c>
      <c r="D255" s="22" t="n">
        <f aca="false">Portfolio!G255</f>
        <v>0.289075947634845</v>
      </c>
      <c r="E255" s="23" t="n">
        <f aca="false">Portfolio!E255</f>
        <v>0.702</v>
      </c>
      <c r="F255" s="17" t="n">
        <f aca="false">Portfolio!F255</f>
        <v>0</v>
      </c>
      <c r="G255" s="16" t="str">
        <f aca="false">IF(OR(F255&gt;='Cover &amp; Assumptions'!$C$22,Portfolio!I255=1),"Stage 3",IF(OR(F255&gt;=30,D255&gt;'Cover &amp; Assumptions'!$C$21),"Stage 2","Stage 1"))</f>
        <v>Stage 2</v>
      </c>
      <c r="H255" s="16" t="n">
        <f aca="false">IF(G255="Stage 1",12,MIN(Portfolio!H255,60))</f>
        <v>60</v>
      </c>
      <c r="I255" s="24" t="n">
        <f aca="false">1-(1-D255)^(H255/12)</f>
        <v>0.818399918618832</v>
      </c>
      <c r="J255" s="24" t="n">
        <f aca="false">IF(G255="Stage 1",D255,I255)</f>
        <v>0.818399918618832</v>
      </c>
      <c r="K255" s="25" t="n">
        <f aca="false">J255*'Cover &amp; Assumptions'!$D$11*E255*'Cover &amp; Assumptions'!$E$11*C255</f>
        <v>51578.8779639092</v>
      </c>
      <c r="L255" s="25" t="n">
        <f aca="false">J255*'Cover &amp; Assumptions'!$D$12*E255*'Cover &amp; Assumptions'!$E$12*C255</f>
        <v>63874.7714723333</v>
      </c>
      <c r="M255" s="25" t="n">
        <f aca="false">J255*'Cover &amp; Assumptions'!$D$13*E255*'Cover &amp; Assumptions'!$E$13*C255</f>
        <v>111142.10236186</v>
      </c>
      <c r="N255" s="25" t="n">
        <f aca="false">K255*'Cover &amp; Assumptions'!$C$11+L255*'Cover &amp; Assumptions'!$C$12+M255*'Cover &amp; Assumptions'!$C$13</f>
        <v>73232.4254930302</v>
      </c>
    </row>
    <row r="256" customFormat="false" ht="15" hidden="false" customHeight="false" outlineLevel="0" collapsed="false">
      <c r="A256" s="17" t="str">
        <f aca="false">Portfolio!A256</f>
        <v>UKSME-106693</v>
      </c>
      <c r="B256" s="17" t="str">
        <f aca="false">Portfolio!B256</f>
        <v>Manufacturing</v>
      </c>
      <c r="C256" s="21" t="n">
        <f aca="false">Portfolio!D256</f>
        <v>16616</v>
      </c>
      <c r="D256" s="22" t="n">
        <f aca="false">Portfolio!G256</f>
        <v>0.114370525970946</v>
      </c>
      <c r="E256" s="23" t="n">
        <f aca="false">Portfolio!E256</f>
        <v>0.648</v>
      </c>
      <c r="F256" s="17" t="n">
        <f aca="false">Portfolio!F256</f>
        <v>0</v>
      </c>
      <c r="G256" s="16" t="str">
        <f aca="false">IF(OR(F256&gt;='Cover &amp; Assumptions'!$C$22,Portfolio!I256=1),"Stage 3",IF(OR(F256&gt;=30,D256&gt;'Cover &amp; Assumptions'!$C$21),"Stage 2","Stage 1"))</f>
        <v>Stage 1</v>
      </c>
      <c r="H256" s="16" t="n">
        <f aca="false">IF(G256="Stage 1",12,MIN(Portfolio!H256,60))</f>
        <v>12</v>
      </c>
      <c r="I256" s="24" t="n">
        <f aca="false">1-(1-D256)^(H256/12)</f>
        <v>0.114370525970946</v>
      </c>
      <c r="J256" s="24" t="n">
        <f aca="false">IF(G256="Stage 1",D256,I256)</f>
        <v>0.114370525970946</v>
      </c>
      <c r="K256" s="25" t="n">
        <f aca="false">J256*'Cover &amp; Assumptions'!$D$11*E256*'Cover &amp; Assumptions'!$E$11*C256</f>
        <v>994.393183907359</v>
      </c>
      <c r="L256" s="25" t="n">
        <f aca="false">J256*'Cover &amp; Assumptions'!$D$12*E256*'Cover &amp; Assumptions'!$E$12*C256</f>
        <v>1231.44666737753</v>
      </c>
      <c r="M256" s="25" t="n">
        <f aca="false">J256*'Cover &amp; Assumptions'!$D$13*E256*'Cover &amp; Assumptions'!$E$13*C256</f>
        <v>2142.71720123691</v>
      </c>
      <c r="N256" s="25" t="n">
        <f aca="false">K256*'Cover &amp; Assumptions'!$C$11+L256*'Cover &amp; Assumptions'!$C$12+M256*'Cover &amp; Assumptions'!$C$13</f>
        <v>1411.85360414834</v>
      </c>
    </row>
    <row r="257" customFormat="false" ht="15" hidden="false" customHeight="false" outlineLevel="0" collapsed="false">
      <c r="A257" s="17" t="str">
        <f aca="false">Portfolio!A257</f>
        <v>UKSME-109021</v>
      </c>
      <c r="B257" s="17" t="str">
        <f aca="false">Portfolio!B257</f>
        <v>Real Estate</v>
      </c>
      <c r="C257" s="21" t="n">
        <f aca="false">Portfolio!D257</f>
        <v>35658</v>
      </c>
      <c r="D257" s="22" t="n">
        <f aca="false">Portfolio!G257</f>
        <v>0.168128432806743</v>
      </c>
      <c r="E257" s="23" t="n">
        <f aca="false">Portfolio!E257</f>
        <v>0.441</v>
      </c>
      <c r="F257" s="17" t="n">
        <f aca="false">Portfolio!F257</f>
        <v>0</v>
      </c>
      <c r="G257" s="16" t="str">
        <f aca="false">IF(OR(F257&gt;='Cover &amp; Assumptions'!$C$22,Portfolio!I257=1),"Stage 3",IF(OR(F257&gt;=30,D257&gt;'Cover &amp; Assumptions'!$C$21),"Stage 2","Stage 1"))</f>
        <v>Stage 3</v>
      </c>
      <c r="H257" s="16" t="n">
        <f aca="false">IF(G257="Stage 1",12,MIN(Portfolio!H257,60))</f>
        <v>36</v>
      </c>
      <c r="I257" s="24" t="n">
        <f aca="false">1-(1-D257)^(H257/12)</f>
        <v>0.424336303644279</v>
      </c>
      <c r="J257" s="24" t="n">
        <f aca="false">IF(G257="Stage 1",D257,I257)</f>
        <v>0.424336303644279</v>
      </c>
      <c r="K257" s="25" t="n">
        <f aca="false">J257*'Cover &amp; Assumptions'!$D$11*E257*'Cover &amp; Assumptions'!$E$11*C257</f>
        <v>5388.25685463468</v>
      </c>
      <c r="L257" s="25" t="n">
        <f aca="false">J257*'Cover &amp; Assumptions'!$D$12*E257*'Cover &amp; Assumptions'!$E$12*C257</f>
        <v>6672.76390666834</v>
      </c>
      <c r="M257" s="25" t="n">
        <f aca="false">J257*'Cover &amp; Assumptions'!$D$13*E257*'Cover &amp; Assumptions'!$E$13*C257</f>
        <v>11610.6091976029</v>
      </c>
      <c r="N257" s="25" t="n">
        <f aca="false">K257*'Cover &amp; Assumptions'!$C$11+L257*'Cover &amp; Assumptions'!$C$12+M257*'Cover &amp; Assumptions'!$C$13</f>
        <v>7650.32381899525</v>
      </c>
    </row>
    <row r="258" customFormat="false" ht="15" hidden="false" customHeight="false" outlineLevel="0" collapsed="false">
      <c r="A258" s="17" t="str">
        <f aca="false">Portfolio!A258</f>
        <v>UKSME-103524</v>
      </c>
      <c r="B258" s="17" t="str">
        <f aca="false">Portfolio!B258</f>
        <v>Technology</v>
      </c>
      <c r="C258" s="21" t="n">
        <f aca="false">Portfolio!D258</f>
        <v>83799</v>
      </c>
      <c r="D258" s="22" t="n">
        <f aca="false">Portfolio!G258</f>
        <v>0.15587152484023</v>
      </c>
      <c r="E258" s="23" t="n">
        <f aca="false">Portfolio!E258</f>
        <v>0.207</v>
      </c>
      <c r="F258" s="17" t="n">
        <f aca="false">Portfolio!F258</f>
        <v>0</v>
      </c>
      <c r="G258" s="16" t="str">
        <f aca="false">IF(OR(F258&gt;='Cover &amp; Assumptions'!$C$22,Portfolio!I258=1),"Stage 3",IF(OR(F258&gt;=30,D258&gt;'Cover &amp; Assumptions'!$C$21),"Stage 2","Stage 1"))</f>
        <v>Stage 2</v>
      </c>
      <c r="H258" s="16" t="n">
        <f aca="false">IF(G258="Stage 1",12,MIN(Portfolio!H258,60))</f>
        <v>60</v>
      </c>
      <c r="I258" s="24" t="n">
        <f aca="false">1-(1-D258)^(H258/12)</f>
        <v>0.571409289866299</v>
      </c>
      <c r="J258" s="24" t="n">
        <f aca="false">IF(G258="Stage 1",D258,I258)</f>
        <v>0.571409289866299</v>
      </c>
      <c r="K258" s="25" t="n">
        <f aca="false">J258*'Cover &amp; Assumptions'!$D$11*E258*'Cover &amp; Assumptions'!$E$11*C258</f>
        <v>8003.85126049142</v>
      </c>
      <c r="L258" s="25" t="n">
        <f aca="false">J258*'Cover &amp; Assumptions'!$D$12*E258*'Cover &amp; Assumptions'!$E$12*C258</f>
        <v>9911.89010587173</v>
      </c>
      <c r="M258" s="25" t="n">
        <f aca="false">J258*'Cover &amp; Assumptions'!$D$13*E258*'Cover &amp; Assumptions'!$E$13*C258</f>
        <v>17246.6887842168</v>
      </c>
      <c r="N258" s="25" t="n">
        <f aca="false">K258*'Cover &amp; Assumptions'!$C$11+L258*'Cover &amp; Assumptions'!$C$12+M258*'Cover &amp; Assumptions'!$C$13</f>
        <v>11363.9820063819</v>
      </c>
    </row>
    <row r="259" customFormat="false" ht="15" hidden="false" customHeight="false" outlineLevel="0" collapsed="false">
      <c r="A259" s="17" t="str">
        <f aca="false">Portfolio!A259</f>
        <v>UKSME-105473</v>
      </c>
      <c r="B259" s="17" t="str">
        <f aca="false">Portfolio!B259</f>
        <v>Manufacturing</v>
      </c>
      <c r="C259" s="21" t="n">
        <f aca="false">Portfolio!D259</f>
        <v>16483</v>
      </c>
      <c r="D259" s="22" t="n">
        <f aca="false">Portfolio!G259</f>
        <v>0.187547594999295</v>
      </c>
      <c r="E259" s="23" t="n">
        <f aca="false">Portfolio!E259</f>
        <v>0.95</v>
      </c>
      <c r="F259" s="17" t="n">
        <f aca="false">Portfolio!F259</f>
        <v>0</v>
      </c>
      <c r="G259" s="16" t="str">
        <f aca="false">IF(OR(F259&gt;='Cover &amp; Assumptions'!$C$22,Portfolio!I259=1),"Stage 3",IF(OR(F259&gt;=30,D259&gt;'Cover &amp; Assumptions'!$C$21),"Stage 2","Stage 1"))</f>
        <v>Stage 2</v>
      </c>
      <c r="H259" s="16" t="n">
        <f aca="false">IF(G259="Stage 1",12,MIN(Portfolio!H259,60))</f>
        <v>24</v>
      </c>
      <c r="I259" s="24" t="n">
        <f aca="false">1-(1-D259)^(H259/12)</f>
        <v>0.33992108960857</v>
      </c>
      <c r="J259" s="24" t="n">
        <f aca="false">IF(G259="Stage 1",D259,I259)</f>
        <v>0.33992108960857</v>
      </c>
      <c r="K259" s="25" t="n">
        <f aca="false">J259*'Cover &amp; Assumptions'!$D$11*E259*'Cover &amp; Assumptions'!$E$11*C259</f>
        <v>4298.13948336886</v>
      </c>
      <c r="L259" s="25" t="n">
        <f aca="false">J259*'Cover &amp; Assumptions'!$D$12*E259*'Cover &amp; Assumptions'!$E$12*C259</f>
        <v>5322.77335401716</v>
      </c>
      <c r="M259" s="25" t="n">
        <f aca="false">J259*'Cover &amp; Assumptions'!$D$13*E259*'Cover &amp; Assumptions'!$E$13*C259</f>
        <v>9261.62563598986</v>
      </c>
      <c r="N259" s="25" t="n">
        <f aca="false">K259*'Cover &amp; Assumptions'!$C$11+L259*'Cover &amp; Assumptions'!$C$12+M259*'Cover &amp; Assumptions'!$C$13</f>
        <v>6102.55965038068</v>
      </c>
    </row>
    <row r="260" customFormat="false" ht="15" hidden="false" customHeight="false" outlineLevel="0" collapsed="false">
      <c r="A260" s="17" t="str">
        <f aca="false">Portfolio!A260</f>
        <v>UKSME-109263</v>
      </c>
      <c r="B260" s="17" t="str">
        <f aca="false">Portfolio!B260</f>
        <v>Technology</v>
      </c>
      <c r="C260" s="21" t="n">
        <f aca="false">Portfolio!D260</f>
        <v>65893</v>
      </c>
      <c r="D260" s="22" t="n">
        <f aca="false">Portfolio!G260</f>
        <v>0.153854626388788</v>
      </c>
      <c r="E260" s="23" t="n">
        <f aca="false">Portfolio!E260</f>
        <v>0.345</v>
      </c>
      <c r="F260" s="17" t="n">
        <f aca="false">Portfolio!F260</f>
        <v>0</v>
      </c>
      <c r="G260" s="16" t="str">
        <f aca="false">IF(OR(F260&gt;='Cover &amp; Assumptions'!$C$22,Portfolio!I260=1),"Stage 3",IF(OR(F260&gt;=30,D260&gt;'Cover &amp; Assumptions'!$C$21),"Stage 2","Stage 1"))</f>
        <v>Stage 2</v>
      </c>
      <c r="H260" s="16" t="n">
        <f aca="false">IF(G260="Stage 1",12,MIN(Portfolio!H260,60))</f>
        <v>60</v>
      </c>
      <c r="I260" s="24" t="n">
        <f aca="false">1-(1-D260)^(H260/12)</f>
        <v>0.566264548108413</v>
      </c>
      <c r="J260" s="24" t="n">
        <f aca="false">IF(G260="Stage 1",D260,I260)</f>
        <v>0.566264548108413</v>
      </c>
      <c r="K260" s="25" t="n">
        <f aca="false">J260*'Cover &amp; Assumptions'!$D$11*E260*'Cover &amp; Assumptions'!$E$11*C260</f>
        <v>10394.8991344929</v>
      </c>
      <c r="L260" s="25" t="n">
        <f aca="false">J260*'Cover &amp; Assumptions'!$D$12*E260*'Cover &amp; Assumptions'!$E$12*C260</f>
        <v>12872.9401046351</v>
      </c>
      <c r="M260" s="25" t="n">
        <f aca="false">J260*'Cover &amp; Assumptions'!$D$13*E260*'Cover &amp; Assumptions'!$E$13*C260</f>
        <v>22398.9157820652</v>
      </c>
      <c r="N260" s="25" t="n">
        <f aca="false">K260*'Cover &amp; Assumptions'!$C$11+L260*'Cover &amp; Assumptions'!$C$12+M260*'Cover &amp; Assumptions'!$C$13</f>
        <v>14758.8258299642</v>
      </c>
    </row>
    <row r="261" customFormat="false" ht="15" hidden="false" customHeight="false" outlineLevel="0" collapsed="false">
      <c r="A261" s="17" t="str">
        <f aca="false">Portfolio!A261</f>
        <v>UKSME-109639</v>
      </c>
      <c r="B261" s="17" t="str">
        <f aca="false">Portfolio!B261</f>
        <v>Technology</v>
      </c>
      <c r="C261" s="21" t="n">
        <f aca="false">Portfolio!D261</f>
        <v>81555</v>
      </c>
      <c r="D261" s="22" t="n">
        <f aca="false">Portfolio!G261</f>
        <v>0.161765891269109</v>
      </c>
      <c r="E261" s="23" t="n">
        <f aca="false">Portfolio!E261</f>
        <v>0.738</v>
      </c>
      <c r="F261" s="17" t="n">
        <f aca="false">Portfolio!F261</f>
        <v>0</v>
      </c>
      <c r="G261" s="16" t="str">
        <f aca="false">IF(OR(F261&gt;='Cover &amp; Assumptions'!$C$22,Portfolio!I261=1),"Stage 3",IF(OR(F261&gt;=30,D261&gt;'Cover &amp; Assumptions'!$C$21),"Stage 2","Stage 1"))</f>
        <v>Stage 2</v>
      </c>
      <c r="H261" s="16" t="n">
        <f aca="false">IF(G261="Stage 1",12,MIN(Portfolio!H261,60))</f>
        <v>36</v>
      </c>
      <c r="I261" s="24" t="n">
        <f aca="false">1-(1-D261)^(H261/12)</f>
        <v>0.411026185847781</v>
      </c>
      <c r="J261" s="24" t="n">
        <f aca="false">IF(G261="Stage 1",D261,I261)</f>
        <v>0.411026185847781</v>
      </c>
      <c r="K261" s="25" t="n">
        <f aca="false">J261*'Cover &amp; Assumptions'!$D$11*E261*'Cover &amp; Assumptions'!$E$11*C261</f>
        <v>19976.480509104</v>
      </c>
      <c r="L261" s="25" t="n">
        <f aca="false">J261*'Cover &amp; Assumptions'!$D$12*E261*'Cover &amp; Assumptions'!$E$12*C261</f>
        <v>24738.67555307</v>
      </c>
      <c r="M261" s="25" t="n">
        <f aca="false">J261*'Cover &amp; Assumptions'!$D$13*E261*'Cover &amp; Assumptions'!$E$13*C261</f>
        <v>43045.2954623419</v>
      </c>
      <c r="N261" s="25" t="n">
        <f aca="false">K261*'Cover &amp; Assumptions'!$C$11+L261*'Cover &amp; Assumptions'!$C$12+M261*'Cover &amp; Assumptions'!$C$13</f>
        <v>28362.8915215948</v>
      </c>
    </row>
    <row r="262" customFormat="false" ht="15" hidden="false" customHeight="false" outlineLevel="0" collapsed="false">
      <c r="A262" s="17" t="str">
        <f aca="false">Portfolio!A262</f>
        <v>UKSME-107484</v>
      </c>
      <c r="B262" s="17" t="str">
        <f aca="false">Portfolio!B262</f>
        <v>Technology</v>
      </c>
      <c r="C262" s="21" t="n">
        <f aca="false">Portfolio!D262</f>
        <v>80913</v>
      </c>
      <c r="D262" s="22" t="n">
        <f aca="false">Portfolio!G262</f>
        <v>0.129448536939381</v>
      </c>
      <c r="E262" s="23" t="n">
        <f aca="false">Portfolio!E262</f>
        <v>0.446</v>
      </c>
      <c r="F262" s="17" t="n">
        <f aca="false">Portfolio!F262</f>
        <v>0</v>
      </c>
      <c r="G262" s="16" t="str">
        <f aca="false">IF(OR(F262&gt;='Cover &amp; Assumptions'!$C$22,Portfolio!I262=1),"Stage 3",IF(OR(F262&gt;=30,D262&gt;'Cover &amp; Assumptions'!$C$21),"Stage 2","Stage 1"))</f>
        <v>Stage 1</v>
      </c>
      <c r="H262" s="16" t="n">
        <f aca="false">IF(G262="Stage 1",12,MIN(Portfolio!H262,60))</f>
        <v>12</v>
      </c>
      <c r="I262" s="24" t="n">
        <f aca="false">1-(1-D262)^(H262/12)</f>
        <v>0.129448536939381</v>
      </c>
      <c r="J262" s="24" t="n">
        <f aca="false">IF(G262="Stage 1",D262,I262)</f>
        <v>0.129448536939381</v>
      </c>
      <c r="K262" s="25" t="n">
        <f aca="false">J262*'Cover &amp; Assumptions'!$D$11*E262*'Cover &amp; Assumptions'!$E$11*C262</f>
        <v>3772.18374904848</v>
      </c>
      <c r="L262" s="25" t="n">
        <f aca="false">J262*'Cover &amp; Assumptions'!$D$12*E262*'Cover &amp; Assumptions'!$E$12*C262</f>
        <v>4671.43498334177</v>
      </c>
      <c r="M262" s="25" t="n">
        <f aca="false">J262*'Cover &amp; Assumptions'!$D$13*E262*'Cover &amp; Assumptions'!$E$13*C262</f>
        <v>8128.29687101468</v>
      </c>
      <c r="N262" s="25" t="n">
        <f aca="false">K262*'Cover &amp; Assumptions'!$C$11+L262*'Cover &amp; Assumptions'!$C$12+M262*'Cover &amp; Assumptions'!$C$13</f>
        <v>5355.80020840134</v>
      </c>
    </row>
    <row r="263" customFormat="false" ht="15" hidden="false" customHeight="false" outlineLevel="0" collapsed="false">
      <c r="A263" s="17" t="str">
        <f aca="false">Portfolio!A263</f>
        <v>UKSME-103657</v>
      </c>
      <c r="B263" s="17" t="str">
        <f aca="false">Portfolio!B263</f>
        <v>Wholesale</v>
      </c>
      <c r="C263" s="21" t="n">
        <f aca="false">Portfolio!D263</f>
        <v>25692</v>
      </c>
      <c r="D263" s="22" t="n">
        <f aca="false">Portfolio!G263</f>
        <v>0.845164248350211</v>
      </c>
      <c r="E263" s="23" t="n">
        <f aca="false">Portfolio!E263</f>
        <v>0.65</v>
      </c>
      <c r="F263" s="17" t="n">
        <f aca="false">Portfolio!F263</f>
        <v>0</v>
      </c>
      <c r="G263" s="16" t="str">
        <f aca="false">IF(OR(F263&gt;='Cover &amp; Assumptions'!$C$22,Portfolio!I263=1),"Stage 3",IF(OR(F263&gt;=30,D263&gt;'Cover &amp; Assumptions'!$C$21),"Stage 2","Stage 1"))</f>
        <v>Stage 3</v>
      </c>
      <c r="H263" s="16" t="n">
        <f aca="false">IF(G263="Stage 1",12,MIN(Portfolio!H263,60))</f>
        <v>60</v>
      </c>
      <c r="I263" s="24" t="n">
        <f aca="false">1-(1-D263)^(H263/12)</f>
        <v>0.999911006920832</v>
      </c>
      <c r="J263" s="24" t="n">
        <f aca="false">IF(G263="Stage 1",D263,I263)</f>
        <v>0.999911006920832</v>
      </c>
      <c r="K263" s="25" t="n">
        <f aca="false">J263*'Cover &amp; Assumptions'!$D$11*E263*'Cover &amp; Assumptions'!$E$11*C263</f>
        <v>13483.8884204515</v>
      </c>
      <c r="L263" s="25" t="n">
        <f aca="false">J263*'Cover &amp; Assumptions'!$D$12*E263*'Cover &amp; Assumptions'!$E$12*C263</f>
        <v>16698.3138333765</v>
      </c>
      <c r="M263" s="25" t="n">
        <f aca="false">J263*'Cover &amp; Assumptions'!$D$13*E263*'Cover &amp; Assumptions'!$E$13*C263</f>
        <v>29055.0660700751</v>
      </c>
      <c r="N263" s="25" t="n">
        <f aca="false">K263*'Cover &amp; Assumptions'!$C$11+L263*'Cover &amp; Assumptions'!$C$12+M263*'Cover &amp; Assumptions'!$C$13</f>
        <v>19144.6168099662</v>
      </c>
    </row>
    <row r="264" customFormat="false" ht="15" hidden="false" customHeight="false" outlineLevel="0" collapsed="false">
      <c r="A264" s="17" t="str">
        <f aca="false">Portfolio!A264</f>
        <v>UKSME-102408</v>
      </c>
      <c r="B264" s="17" t="str">
        <f aca="false">Portfolio!B264</f>
        <v>Real Estate</v>
      </c>
      <c r="C264" s="21" t="n">
        <f aca="false">Portfolio!D264</f>
        <v>143973</v>
      </c>
      <c r="D264" s="22" t="n">
        <f aca="false">Portfolio!G264</f>
        <v>0.148385812512469</v>
      </c>
      <c r="E264" s="23" t="n">
        <f aca="false">Portfolio!E264</f>
        <v>0.727</v>
      </c>
      <c r="F264" s="17" t="n">
        <f aca="false">Portfolio!F264</f>
        <v>0</v>
      </c>
      <c r="G264" s="16" t="str">
        <f aca="false">IF(OR(F264&gt;='Cover &amp; Assumptions'!$C$22,Portfolio!I264=1),"Stage 3",IF(OR(F264&gt;=30,D264&gt;'Cover &amp; Assumptions'!$C$21),"Stage 2","Stage 1"))</f>
        <v>Stage 1</v>
      </c>
      <c r="H264" s="16" t="n">
        <f aca="false">IF(G264="Stage 1",12,MIN(Portfolio!H264,60))</f>
        <v>12</v>
      </c>
      <c r="I264" s="24" t="n">
        <f aca="false">1-(1-D264)^(H264/12)</f>
        <v>0.148385812512469</v>
      </c>
      <c r="J264" s="24" t="n">
        <f aca="false">IF(G264="Stage 1",D264,I264)</f>
        <v>0.148385812512469</v>
      </c>
      <c r="K264" s="25" t="n">
        <f aca="false">J264*'Cover &amp; Assumptions'!$D$11*E264*'Cover &amp; Assumptions'!$E$11*C264</f>
        <v>12541.5257797171</v>
      </c>
      <c r="L264" s="25" t="n">
        <f aca="false">J264*'Cover &amp; Assumptions'!$D$12*E264*'Cover &amp; Assumptions'!$E$12*C264</f>
        <v>15531.3012751915</v>
      </c>
      <c r="M264" s="25" t="n">
        <f aca="false">J264*'Cover &amp; Assumptions'!$D$13*E264*'Cover &amp; Assumptions'!$E$13*C264</f>
        <v>27024.4642188332</v>
      </c>
      <c r="N264" s="25" t="n">
        <f aca="false">K264*'Cover &amp; Assumptions'!$C$11+L264*'Cover &amp; Assumptions'!$C$12+M264*'Cover &amp; Assumptions'!$C$13</f>
        <v>17806.6369120071</v>
      </c>
    </row>
    <row r="265" customFormat="false" ht="15" hidden="false" customHeight="false" outlineLevel="0" collapsed="false">
      <c r="A265" s="17" t="str">
        <f aca="false">Portfolio!A265</f>
        <v>UKSME-107429</v>
      </c>
      <c r="B265" s="17" t="str">
        <f aca="false">Portfolio!B265</f>
        <v>Real Estate</v>
      </c>
      <c r="C265" s="21" t="n">
        <f aca="false">Portfolio!D265</f>
        <v>162607</v>
      </c>
      <c r="D265" s="22" t="n">
        <f aca="false">Portfolio!G265</f>
        <v>0.602521164548171</v>
      </c>
      <c r="E265" s="23" t="n">
        <f aca="false">Portfolio!E265</f>
        <v>0.847</v>
      </c>
      <c r="F265" s="17" t="n">
        <f aca="false">Portfolio!F265</f>
        <v>95</v>
      </c>
      <c r="G265" s="16" t="str">
        <f aca="false">IF(OR(F265&gt;='Cover &amp; Assumptions'!$C$22,Portfolio!I265=1),"Stage 3",IF(OR(F265&gt;=30,D265&gt;'Cover &amp; Assumptions'!$C$21),"Stage 2","Stage 1"))</f>
        <v>Stage 3</v>
      </c>
      <c r="H265" s="16" t="n">
        <f aca="false">IF(G265="Stage 1",12,MIN(Portfolio!H265,60))</f>
        <v>60</v>
      </c>
      <c r="I265" s="24" t="n">
        <f aca="false">1-(1-D265)^(H265/12)</f>
        <v>0.990078666608556</v>
      </c>
      <c r="J265" s="24" t="n">
        <f aca="false">IF(G265="Stage 1",D265,I265)</f>
        <v>0.990078666608556</v>
      </c>
      <c r="K265" s="25" t="n">
        <f aca="false">J265*'Cover &amp; Assumptions'!$D$11*E265*'Cover &amp; Assumptions'!$E$11*C265</f>
        <v>110112.05846921</v>
      </c>
      <c r="L265" s="25" t="n">
        <f aca="false">J265*'Cover &amp; Assumptions'!$D$12*E265*'Cover &amp; Assumptions'!$E$12*C265</f>
        <v>136361.682314811</v>
      </c>
      <c r="M265" s="25" t="n">
        <f aca="false">J265*'Cover &amp; Assumptions'!$D$13*E265*'Cover &amp; Assumptions'!$E$13*C265</f>
        <v>237269.327227771</v>
      </c>
      <c r="N265" s="25" t="n">
        <f aca="false">K265*'Cover &amp; Assumptions'!$C$11+L265*'Cover &amp; Assumptions'!$C$12+M265*'Cover &amp; Assumptions'!$C$13</f>
        <v>156338.668773931</v>
      </c>
    </row>
    <row r="266" customFormat="false" ht="15" hidden="false" customHeight="false" outlineLevel="0" collapsed="false">
      <c r="A266" s="17" t="str">
        <f aca="false">Portfolio!A266</f>
        <v>UKSME-108904</v>
      </c>
      <c r="B266" s="17" t="str">
        <f aca="false">Portfolio!B266</f>
        <v>Manufacturing</v>
      </c>
      <c r="C266" s="21" t="n">
        <f aca="false">Portfolio!D266</f>
        <v>201311</v>
      </c>
      <c r="D266" s="22" t="n">
        <f aca="false">Portfolio!G266</f>
        <v>0.327295416288768</v>
      </c>
      <c r="E266" s="23" t="n">
        <f aca="false">Portfolio!E266</f>
        <v>0.613</v>
      </c>
      <c r="F266" s="17" t="n">
        <f aca="false">Portfolio!F266</f>
        <v>0</v>
      </c>
      <c r="G266" s="16" t="str">
        <f aca="false">IF(OR(F266&gt;='Cover &amp; Assumptions'!$C$22,Portfolio!I266=1),"Stage 3",IF(OR(F266&gt;=30,D266&gt;'Cover &amp; Assumptions'!$C$21),"Stage 2","Stage 1"))</f>
        <v>Stage 3</v>
      </c>
      <c r="H266" s="16" t="n">
        <f aca="false">IF(G266="Stage 1",12,MIN(Portfolio!H266,60))</f>
        <v>60</v>
      </c>
      <c r="I266" s="24" t="n">
        <f aca="false">1-(1-D266)^(H266/12)</f>
        <v>0.862240380501001</v>
      </c>
      <c r="J266" s="24" t="n">
        <f aca="false">IF(G266="Stage 1",D266,I266)</f>
        <v>0.862240380501001</v>
      </c>
      <c r="K266" s="25" t="n">
        <f aca="false">J266*'Cover &amp; Assumptions'!$D$11*E266*'Cover &amp; Assumptions'!$E$11*C266</f>
        <v>85920.9103071402</v>
      </c>
      <c r="L266" s="25" t="n">
        <f aca="false">J266*'Cover &amp; Assumptions'!$D$12*E266*'Cover &amp; Assumptions'!$E$12*C266</f>
        <v>106403.60409553</v>
      </c>
      <c r="M266" s="25" t="n">
        <f aca="false">J266*'Cover &amp; Assumptions'!$D$13*E266*'Cover &amp; Assumptions'!$E$13*C266</f>
        <v>185142.271126222</v>
      </c>
      <c r="N266" s="25" t="n">
        <f aca="false">K266*'Cover &amp; Assumptions'!$C$11+L266*'Cover &amp; Assumptions'!$C$12+M266*'Cover &amp; Assumptions'!$C$13</f>
        <v>121991.732095525</v>
      </c>
    </row>
    <row r="267" customFormat="false" ht="15" hidden="false" customHeight="false" outlineLevel="0" collapsed="false">
      <c r="A267" s="17" t="str">
        <f aca="false">Portfolio!A267</f>
        <v>UKSME-105555</v>
      </c>
      <c r="B267" s="17" t="str">
        <f aca="false">Portfolio!B267</f>
        <v>Transport</v>
      </c>
      <c r="C267" s="21" t="n">
        <f aca="false">Portfolio!D267</f>
        <v>44248</v>
      </c>
      <c r="D267" s="22" t="n">
        <f aca="false">Portfolio!G267</f>
        <v>0.0877328306506364</v>
      </c>
      <c r="E267" s="23" t="n">
        <f aca="false">Portfolio!E267</f>
        <v>0.215</v>
      </c>
      <c r="F267" s="17" t="n">
        <f aca="false">Portfolio!F267</f>
        <v>0</v>
      </c>
      <c r="G267" s="16" t="str">
        <f aca="false">IF(OR(F267&gt;='Cover &amp; Assumptions'!$C$22,Portfolio!I267=1),"Stage 3",IF(OR(F267&gt;=30,D267&gt;'Cover &amp; Assumptions'!$C$21),"Stage 2","Stage 1"))</f>
        <v>Stage 1</v>
      </c>
      <c r="H267" s="16" t="n">
        <f aca="false">IF(G267="Stage 1",12,MIN(Portfolio!H267,60))</f>
        <v>12</v>
      </c>
      <c r="I267" s="24" t="n">
        <f aca="false">1-(1-D267)^(H267/12)</f>
        <v>0.0877328306506364</v>
      </c>
      <c r="J267" s="24" t="n">
        <f aca="false">IF(G267="Stage 1",D267,I267)</f>
        <v>0.0877328306506364</v>
      </c>
      <c r="K267" s="25" t="n">
        <f aca="false">J267*'Cover &amp; Assumptions'!$D$11*E267*'Cover &amp; Assumptions'!$E$11*C267</f>
        <v>673.96412268189</v>
      </c>
      <c r="L267" s="25" t="n">
        <f aca="false">J267*'Cover &amp; Assumptions'!$D$12*E267*'Cover &amp; Assumptions'!$E$12*C267</f>
        <v>834.630492485312</v>
      </c>
      <c r="M267" s="25" t="n">
        <f aca="false">J267*'Cover &amp; Assumptions'!$D$13*E267*'Cover &amp; Assumptions'!$E$13*C267</f>
        <v>1452.25705692444</v>
      </c>
      <c r="N267" s="25" t="n">
        <f aca="false">K267*'Cover &amp; Assumptions'!$C$11+L267*'Cover &amp; Assumptions'!$C$12+M267*'Cover &amp; Assumptions'!$C$13</f>
        <v>956.903859634411</v>
      </c>
    </row>
    <row r="268" customFormat="false" ht="15" hidden="false" customHeight="false" outlineLevel="0" collapsed="false">
      <c r="A268" s="17" t="str">
        <f aca="false">Portfolio!A268</f>
        <v>UKSME-101263</v>
      </c>
      <c r="B268" s="17" t="str">
        <f aca="false">Portfolio!B268</f>
        <v>Real Estate</v>
      </c>
      <c r="C268" s="21" t="n">
        <f aca="false">Portfolio!D268</f>
        <v>129953</v>
      </c>
      <c r="D268" s="22" t="n">
        <f aca="false">Portfolio!G268</f>
        <v>0.153929886930912</v>
      </c>
      <c r="E268" s="23" t="n">
        <f aca="false">Portfolio!E268</f>
        <v>0.179</v>
      </c>
      <c r="F268" s="17" t="n">
        <f aca="false">Portfolio!F268</f>
        <v>0</v>
      </c>
      <c r="G268" s="16" t="str">
        <f aca="false">IF(OR(F268&gt;='Cover &amp; Assumptions'!$C$22,Portfolio!I268=1),"Stage 3",IF(OR(F268&gt;=30,D268&gt;'Cover &amp; Assumptions'!$C$21),"Stage 2","Stage 1"))</f>
        <v>Stage 2</v>
      </c>
      <c r="H268" s="16" t="n">
        <f aca="false">IF(G268="Stage 1",12,MIN(Portfolio!H268,60))</f>
        <v>60</v>
      </c>
      <c r="I268" s="24" t="n">
        <f aca="false">1-(1-D268)^(H268/12)</f>
        <v>0.566457407160053</v>
      </c>
      <c r="J268" s="24" t="n">
        <f aca="false">IF(G268="Stage 1",D268,I268)</f>
        <v>0.566457407160053</v>
      </c>
      <c r="K268" s="25" t="n">
        <f aca="false">J268*'Cover &amp; Assumptions'!$D$11*E268*'Cover &amp; Assumptions'!$E$11*C268</f>
        <v>10640.1838436968</v>
      </c>
      <c r="L268" s="25" t="n">
        <f aca="false">J268*'Cover &amp; Assumptions'!$D$12*E268*'Cover &amp; Assumptions'!$E$12*C268</f>
        <v>13176.698258448</v>
      </c>
      <c r="M268" s="25" t="n">
        <f aca="false">J268*'Cover &amp; Assumptions'!$D$13*E268*'Cover &amp; Assumptions'!$E$13*C268</f>
        <v>22927.4549696995</v>
      </c>
      <c r="N268" s="25" t="n">
        <f aca="false">K268*'Cover &amp; Assumptions'!$C$11+L268*'Cover &amp; Assumptions'!$C$12+M268*'Cover &amp; Assumptions'!$C$13</f>
        <v>15107.0845533106</v>
      </c>
    </row>
    <row r="269" customFormat="false" ht="15" hidden="false" customHeight="false" outlineLevel="0" collapsed="false">
      <c r="A269" s="17" t="str">
        <f aca="false">Portfolio!A269</f>
        <v>UKSME-106419</v>
      </c>
      <c r="B269" s="17" t="str">
        <f aca="false">Portfolio!B269</f>
        <v>Transport</v>
      </c>
      <c r="C269" s="21" t="n">
        <f aca="false">Portfolio!D269</f>
        <v>40644</v>
      </c>
      <c r="D269" s="22" t="n">
        <f aca="false">Portfolio!G269</f>
        <v>0.219451185817403</v>
      </c>
      <c r="E269" s="23" t="n">
        <f aca="false">Portfolio!E269</f>
        <v>0.333</v>
      </c>
      <c r="F269" s="17" t="n">
        <f aca="false">Portfolio!F269</f>
        <v>15</v>
      </c>
      <c r="G269" s="16" t="str">
        <f aca="false">IF(OR(F269&gt;='Cover &amp; Assumptions'!$C$22,Portfolio!I269=1),"Stage 3",IF(OR(F269&gt;=30,D269&gt;'Cover &amp; Assumptions'!$C$21),"Stage 2","Stage 1"))</f>
        <v>Stage 2</v>
      </c>
      <c r="H269" s="16" t="n">
        <f aca="false">IF(G269="Stage 1",12,MIN(Portfolio!H269,60))</f>
        <v>48</v>
      </c>
      <c r="I269" s="24" t="n">
        <f aca="false">1-(1-D269)^(H269/12)</f>
        <v>0.628806576522695</v>
      </c>
      <c r="J269" s="24" t="n">
        <f aca="false">IF(G269="Stage 1",D269,I269)</f>
        <v>0.628806576522695</v>
      </c>
      <c r="K269" s="25" t="n">
        <f aca="false">J269*'Cover &amp; Assumptions'!$D$11*E269*'Cover &amp; Assumptions'!$E$11*C269</f>
        <v>6872.27108498883</v>
      </c>
      <c r="L269" s="25" t="n">
        <f aca="false">J269*'Cover &amp; Assumptions'!$D$12*E269*'Cover &amp; Assumptions'!$E$12*C269</f>
        <v>8510.55242723075</v>
      </c>
      <c r="M269" s="25" t="n">
        <f aca="false">J269*'Cover &amp; Assumptions'!$D$13*E269*'Cover &amp; Assumptions'!$E$13*C269</f>
        <v>14808.3612233815</v>
      </c>
      <c r="N269" s="25" t="n">
        <f aca="false">K269*'Cover &amp; Assumptions'!$C$11+L269*'Cover &amp; Assumptions'!$C$12+M269*'Cover &amp; Assumptions'!$C$13</f>
        <v>9757.34835782005</v>
      </c>
    </row>
    <row r="270" customFormat="false" ht="15" hidden="false" customHeight="false" outlineLevel="0" collapsed="false">
      <c r="A270" s="17" t="str">
        <f aca="false">Portfolio!A270</f>
        <v>UKSME-101136</v>
      </c>
      <c r="B270" s="17" t="str">
        <f aca="false">Portfolio!B270</f>
        <v>Hospitality</v>
      </c>
      <c r="C270" s="21" t="n">
        <f aca="false">Portfolio!D270</f>
        <v>15112</v>
      </c>
      <c r="D270" s="22" t="n">
        <f aca="false">Portfolio!G270</f>
        <v>0.137898094050403</v>
      </c>
      <c r="E270" s="23" t="n">
        <f aca="false">Portfolio!E270</f>
        <v>0.7</v>
      </c>
      <c r="F270" s="17" t="n">
        <f aca="false">Portfolio!F270</f>
        <v>0</v>
      </c>
      <c r="G270" s="16" t="str">
        <f aca="false">IF(OR(F270&gt;='Cover &amp; Assumptions'!$C$22,Portfolio!I270=1),"Stage 3",IF(OR(F270&gt;=30,D270&gt;'Cover &amp; Assumptions'!$C$21),"Stage 2","Stage 1"))</f>
        <v>Stage 1</v>
      </c>
      <c r="H270" s="16" t="n">
        <f aca="false">IF(G270="Stage 1",12,MIN(Portfolio!H270,60))</f>
        <v>12</v>
      </c>
      <c r="I270" s="24" t="n">
        <f aca="false">1-(1-D270)^(H270/12)</f>
        <v>0.137898094050403</v>
      </c>
      <c r="J270" s="24" t="n">
        <f aca="false">IF(G270="Stage 1",D270,I270)</f>
        <v>0.137898094050403</v>
      </c>
      <c r="K270" s="25" t="n">
        <f aca="false">J270*'Cover &amp; Assumptions'!$D$11*E270*'Cover &amp; Assumptions'!$E$11*C270</f>
        <v>1177.933517468</v>
      </c>
      <c r="L270" s="25" t="n">
        <f aca="false">J270*'Cover &amp; Assumptions'!$D$12*E270*'Cover &amp; Assumptions'!$E$12*C270</f>
        <v>1458.74119810278</v>
      </c>
      <c r="M270" s="25" t="n">
        <f aca="false">J270*'Cover &amp; Assumptions'!$D$13*E270*'Cover &amp; Assumptions'!$E$13*C270</f>
        <v>2538.20968469884</v>
      </c>
      <c r="N270" s="25" t="n">
        <f aca="false">K270*'Cover &amp; Assumptions'!$C$11+L270*'Cover &amp; Assumptions'!$C$12+M270*'Cover &amp; Assumptions'!$C$13</f>
        <v>1672.44678362484</v>
      </c>
    </row>
    <row r="271" customFormat="false" ht="15" hidden="false" customHeight="false" outlineLevel="0" collapsed="false">
      <c r="A271" s="17" t="str">
        <f aca="false">Portfolio!A271</f>
        <v>UKSME-106824</v>
      </c>
      <c r="B271" s="17" t="str">
        <f aca="false">Portfolio!B271</f>
        <v>Retail</v>
      </c>
      <c r="C271" s="21" t="n">
        <f aca="false">Portfolio!D271</f>
        <v>30384</v>
      </c>
      <c r="D271" s="22" t="n">
        <f aca="false">Portfolio!G271</f>
        <v>0.257871853568351</v>
      </c>
      <c r="E271" s="23" t="n">
        <f aca="false">Portfolio!E271</f>
        <v>0.596</v>
      </c>
      <c r="F271" s="17" t="n">
        <f aca="false">Portfolio!F271</f>
        <v>35</v>
      </c>
      <c r="G271" s="16" t="str">
        <f aca="false">IF(OR(F271&gt;='Cover &amp; Assumptions'!$C$22,Portfolio!I271=1),"Stage 3",IF(OR(F271&gt;=30,D271&gt;'Cover &amp; Assumptions'!$C$21),"Stage 2","Stage 1"))</f>
        <v>Stage 2</v>
      </c>
      <c r="H271" s="16" t="n">
        <f aca="false">IF(G271="Stage 1",12,MIN(Portfolio!H271,60))</f>
        <v>36</v>
      </c>
      <c r="I271" s="24" t="n">
        <f aca="false">1-(1-D271)^(H271/12)</f>
        <v>0.591269817007636</v>
      </c>
      <c r="J271" s="24" t="n">
        <f aca="false">IF(G271="Stage 1",D271,I271)</f>
        <v>0.591269817007636</v>
      </c>
      <c r="K271" s="25" t="n">
        <f aca="false">J271*'Cover &amp; Assumptions'!$D$11*E271*'Cover &amp; Assumptions'!$E$11*C271</f>
        <v>8646.08394807315</v>
      </c>
      <c r="L271" s="25" t="n">
        <f aca="false">J271*'Cover &amp; Assumptions'!$D$12*E271*'Cover &amp; Assumptions'!$E$12*C271</f>
        <v>10707.2247034962</v>
      </c>
      <c r="M271" s="25" t="n">
        <f aca="false">J271*'Cover &amp; Assumptions'!$D$13*E271*'Cover &amp; Assumptions'!$E$13*C271</f>
        <v>18630.5709840833</v>
      </c>
      <c r="N271" s="25" t="n">
        <f aca="false">K271*'Cover &amp; Assumptions'!$C$11+L271*'Cover &amp; Assumptions'!$C$12+M271*'Cover &amp; Assumptions'!$C$13</f>
        <v>12275.8331225583</v>
      </c>
    </row>
    <row r="272" customFormat="false" ht="15" hidden="false" customHeight="false" outlineLevel="0" collapsed="false">
      <c r="A272" s="17" t="str">
        <f aca="false">Portfolio!A272</f>
        <v>UKSME-106946</v>
      </c>
      <c r="B272" s="17" t="str">
        <f aca="false">Portfolio!B272</f>
        <v>Hospitality</v>
      </c>
      <c r="C272" s="21" t="n">
        <f aca="false">Portfolio!D272</f>
        <v>37035</v>
      </c>
      <c r="D272" s="22" t="n">
        <f aca="false">Portfolio!G272</f>
        <v>0.233416809439437</v>
      </c>
      <c r="E272" s="23" t="n">
        <f aca="false">Portfolio!E272</f>
        <v>0.767</v>
      </c>
      <c r="F272" s="17" t="n">
        <f aca="false">Portfolio!F272</f>
        <v>0</v>
      </c>
      <c r="G272" s="16" t="str">
        <f aca="false">IF(OR(F272&gt;='Cover &amp; Assumptions'!$C$22,Portfolio!I272=1),"Stage 3",IF(OR(F272&gt;=30,D272&gt;'Cover &amp; Assumptions'!$C$21),"Stage 2","Stage 1"))</f>
        <v>Stage 2</v>
      </c>
      <c r="H272" s="16" t="n">
        <f aca="false">IF(G272="Stage 1",12,MIN(Portfolio!H272,60))</f>
        <v>24</v>
      </c>
      <c r="I272" s="24" t="n">
        <f aca="false">1-(1-D272)^(H272/12)</f>
        <v>0.412350211949988</v>
      </c>
      <c r="J272" s="24" t="n">
        <f aca="false">IF(G272="Stage 1",D272,I272)</f>
        <v>0.412350211949988</v>
      </c>
      <c r="K272" s="25" t="n">
        <f aca="false">J272*'Cover &amp; Assumptions'!$D$11*E272*'Cover &amp; Assumptions'!$E$11*C272</f>
        <v>9458.37363664258</v>
      </c>
      <c r="L272" s="25" t="n">
        <f aca="false">J272*'Cover &amp; Assumptions'!$D$12*E272*'Cover &amp; Assumptions'!$E$12*C272</f>
        <v>11713.1562063685</v>
      </c>
      <c r="M272" s="25" t="n">
        <f aca="false">J272*'Cover &amp; Assumptions'!$D$13*E272*'Cover &amp; Assumptions'!$E$13*C272</f>
        <v>20380.8917990812</v>
      </c>
      <c r="N272" s="25" t="n">
        <f aca="false">K272*'Cover &amp; Assumptions'!$C$11+L272*'Cover &amp; Assumptions'!$C$12+M272*'Cover &amp; Assumptions'!$C$13</f>
        <v>13429.1335906015</v>
      </c>
    </row>
    <row r="273" customFormat="false" ht="15" hidden="false" customHeight="false" outlineLevel="0" collapsed="false">
      <c r="A273" s="17" t="str">
        <f aca="false">Portfolio!A273</f>
        <v>UKSME-105930</v>
      </c>
      <c r="B273" s="17" t="str">
        <f aca="false">Portfolio!B273</f>
        <v>Healthcare</v>
      </c>
      <c r="C273" s="21" t="n">
        <f aca="false">Portfolio!D273</f>
        <v>90258</v>
      </c>
      <c r="D273" s="22" t="n">
        <f aca="false">Portfolio!G273</f>
        <v>0.0803647618209745</v>
      </c>
      <c r="E273" s="23" t="n">
        <f aca="false">Portfolio!E273</f>
        <v>0.195</v>
      </c>
      <c r="F273" s="17" t="n">
        <f aca="false">Portfolio!F273</f>
        <v>0</v>
      </c>
      <c r="G273" s="16" t="str">
        <f aca="false">IF(OR(F273&gt;='Cover &amp; Assumptions'!$C$22,Portfolio!I273=1),"Stage 3",IF(OR(F273&gt;=30,D273&gt;'Cover &amp; Assumptions'!$C$21),"Stage 2","Stage 1"))</f>
        <v>Stage 1</v>
      </c>
      <c r="H273" s="16" t="n">
        <f aca="false">IF(G273="Stage 1",12,MIN(Portfolio!H273,60))</f>
        <v>12</v>
      </c>
      <c r="I273" s="24" t="n">
        <f aca="false">1-(1-D273)^(H273/12)</f>
        <v>0.0803647618209745</v>
      </c>
      <c r="J273" s="24" t="n">
        <f aca="false">IF(G273="Stage 1",D273,I273)</f>
        <v>0.0803647618209745</v>
      </c>
      <c r="K273" s="25" t="n">
        <f aca="false">J273*'Cover &amp; Assumptions'!$D$11*E273*'Cover &amp; Assumptions'!$E$11*C273</f>
        <v>1142.16411230869</v>
      </c>
      <c r="L273" s="25" t="n">
        <f aca="false">J273*'Cover &amp; Assumptions'!$D$12*E273*'Cover &amp; Assumptions'!$E$12*C273</f>
        <v>1414.44472112532</v>
      </c>
      <c r="M273" s="25" t="n">
        <f aca="false">J273*'Cover &amp; Assumptions'!$D$13*E273*'Cover &amp; Assumptions'!$E$13*C273</f>
        <v>2461.13381475805</v>
      </c>
      <c r="N273" s="25" t="n">
        <f aca="false">K273*'Cover &amp; Assumptions'!$C$11+L273*'Cover &amp; Assumptions'!$C$12+M273*'Cover &amp; Assumptions'!$C$13</f>
        <v>1621.66087277017</v>
      </c>
    </row>
    <row r="274" customFormat="false" ht="15" hidden="false" customHeight="false" outlineLevel="0" collapsed="false">
      <c r="A274" s="17" t="str">
        <f aca="false">Portfolio!A274</f>
        <v>UKSME-108824</v>
      </c>
      <c r="B274" s="17" t="str">
        <f aca="false">Portfolio!B274</f>
        <v>Healthcare</v>
      </c>
      <c r="C274" s="21" t="n">
        <f aca="false">Portfolio!D274</f>
        <v>42430</v>
      </c>
      <c r="D274" s="22" t="n">
        <f aca="false">Portfolio!G274</f>
        <v>0.110859062835297</v>
      </c>
      <c r="E274" s="23" t="n">
        <f aca="false">Portfolio!E274</f>
        <v>0.169</v>
      </c>
      <c r="F274" s="17" t="n">
        <f aca="false">Portfolio!F274</f>
        <v>0</v>
      </c>
      <c r="G274" s="16" t="str">
        <f aca="false">IF(OR(F274&gt;='Cover &amp; Assumptions'!$C$22,Portfolio!I274=1),"Stage 3",IF(OR(F274&gt;=30,D274&gt;'Cover &amp; Assumptions'!$C$21),"Stage 2","Stage 1"))</f>
        <v>Stage 1</v>
      </c>
      <c r="H274" s="16" t="n">
        <f aca="false">IF(G274="Stage 1",12,MIN(Portfolio!H274,60))</f>
        <v>12</v>
      </c>
      <c r="I274" s="24" t="n">
        <f aca="false">1-(1-D274)^(H274/12)</f>
        <v>0.110859062835297</v>
      </c>
      <c r="J274" s="24" t="n">
        <f aca="false">IF(G274="Stage 1",D274,I274)</f>
        <v>0.110859062835297</v>
      </c>
      <c r="K274" s="25" t="n">
        <f aca="false">J274*'Cover &amp; Assumptions'!$D$11*E274*'Cover &amp; Assumptions'!$E$11*C274</f>
        <v>641.909008051701</v>
      </c>
      <c r="L274" s="25" t="n">
        <f aca="false">J274*'Cover &amp; Assumptions'!$D$12*E274*'Cover &amp; Assumptions'!$E$12*C274</f>
        <v>794.933756101178</v>
      </c>
      <c r="M274" s="25" t="n">
        <f aca="false">J274*'Cover &amp; Assumptions'!$D$13*E274*'Cover &amp; Assumptions'!$E$13*C274</f>
        <v>1383.18473561605</v>
      </c>
      <c r="N274" s="25" t="n">
        <f aca="false">K274*'Cover &amp; Assumptions'!$C$11+L274*'Cover &amp; Assumptions'!$C$12+M274*'Cover &amp; Assumptions'!$C$13</f>
        <v>911.39155137</v>
      </c>
    </row>
    <row r="275" customFormat="false" ht="15" hidden="false" customHeight="false" outlineLevel="0" collapsed="false">
      <c r="A275" s="17" t="str">
        <f aca="false">Portfolio!A275</f>
        <v>UKSME-108846</v>
      </c>
      <c r="B275" s="17" t="str">
        <f aca="false">Portfolio!B275</f>
        <v>Technology</v>
      </c>
      <c r="C275" s="21" t="n">
        <f aca="false">Portfolio!D275</f>
        <v>48995</v>
      </c>
      <c r="D275" s="22" t="n">
        <f aca="false">Portfolio!G275</f>
        <v>0.215024383441195</v>
      </c>
      <c r="E275" s="23" t="n">
        <f aca="false">Portfolio!E275</f>
        <v>0.564</v>
      </c>
      <c r="F275" s="17" t="n">
        <f aca="false">Portfolio!F275</f>
        <v>0</v>
      </c>
      <c r="G275" s="16" t="str">
        <f aca="false">IF(OR(F275&gt;='Cover &amp; Assumptions'!$C$22,Portfolio!I275=1),"Stage 3",IF(OR(F275&gt;=30,D275&gt;'Cover &amp; Assumptions'!$C$21),"Stage 2","Stage 1"))</f>
        <v>Stage 2</v>
      </c>
      <c r="H275" s="16" t="n">
        <f aca="false">IF(G275="Stage 1",12,MIN(Portfolio!H275,60))</f>
        <v>60</v>
      </c>
      <c r="I275" s="24" t="n">
        <f aca="false">1-(1-D275)^(H275/12)</f>
        <v>0.70195569140033</v>
      </c>
      <c r="J275" s="24" t="n">
        <f aca="false">IF(G275="Stage 1",D275,I275)</f>
        <v>0.70195569140033</v>
      </c>
      <c r="K275" s="25" t="n">
        <f aca="false">J275*'Cover &amp; Assumptions'!$D$11*E275*'Cover &amp; Assumptions'!$E$11*C275</f>
        <v>15663.2938877855</v>
      </c>
      <c r="L275" s="25" t="n">
        <f aca="false">J275*'Cover &amp; Assumptions'!$D$12*E275*'Cover &amp; Assumptions'!$E$12*C275</f>
        <v>19397.2679724898</v>
      </c>
      <c r="M275" s="25" t="n">
        <f aca="false">J275*'Cover &amp; Assumptions'!$D$13*E275*'Cover &amp; Assumptions'!$E$13*C275</f>
        <v>33751.2462721322</v>
      </c>
      <c r="N275" s="25" t="n">
        <f aca="false">K275*'Cover &amp; Assumptions'!$C$11+L275*'Cover &amp; Assumptions'!$C$12+M275*'Cover &amp; Assumptions'!$C$13</f>
        <v>22238.9677304595</v>
      </c>
    </row>
    <row r="276" customFormat="false" ht="15" hidden="false" customHeight="false" outlineLevel="0" collapsed="false">
      <c r="A276" s="17" t="str">
        <f aca="false">Portfolio!A276</f>
        <v>UKSME-102461</v>
      </c>
      <c r="B276" s="17" t="str">
        <f aca="false">Portfolio!B276</f>
        <v>Wholesale</v>
      </c>
      <c r="C276" s="21" t="n">
        <f aca="false">Portfolio!D276</f>
        <v>50133</v>
      </c>
      <c r="D276" s="22" t="n">
        <f aca="false">Portfolio!G276</f>
        <v>0.343088980269871</v>
      </c>
      <c r="E276" s="23" t="n">
        <f aca="false">Portfolio!E276</f>
        <v>0.484</v>
      </c>
      <c r="F276" s="17" t="n">
        <f aca="false">Portfolio!F276</f>
        <v>65</v>
      </c>
      <c r="G276" s="16" t="str">
        <f aca="false">IF(OR(F276&gt;='Cover &amp; Assumptions'!$C$22,Portfolio!I276=1),"Stage 3",IF(OR(F276&gt;=30,D276&gt;'Cover &amp; Assumptions'!$C$21),"Stage 2","Stage 1"))</f>
        <v>Stage 2</v>
      </c>
      <c r="H276" s="16" t="n">
        <f aca="false">IF(G276="Stage 1",12,MIN(Portfolio!H276,60))</f>
        <v>60</v>
      </c>
      <c r="I276" s="24" t="n">
        <f aca="false">1-(1-D276)^(H276/12)</f>
        <v>0.877670067456181</v>
      </c>
      <c r="J276" s="24" t="n">
        <f aca="false">IF(G276="Stage 1",D276,I276)</f>
        <v>0.877670067456181</v>
      </c>
      <c r="K276" s="25" t="n">
        <f aca="false">J276*'Cover &amp; Assumptions'!$D$11*E276*'Cover &amp; Assumptions'!$E$11*C276</f>
        <v>17196.6112555927</v>
      </c>
      <c r="L276" s="25" t="n">
        <f aca="false">J276*'Cover &amp; Assumptions'!$D$12*E276*'Cover &amp; Assumptions'!$E$12*C276</f>
        <v>21296.1130100219</v>
      </c>
      <c r="M276" s="25" t="n">
        <f aca="false">J276*'Cover &amp; Assumptions'!$D$13*E276*'Cover &amp; Assumptions'!$E$13*C276</f>
        <v>37055.2366374381</v>
      </c>
      <c r="N276" s="25" t="n">
        <f aca="false">K276*'Cover &amp; Assumptions'!$C$11+L276*'Cover &amp; Assumptions'!$C$12+M276*'Cover &amp; Assumptions'!$C$13</f>
        <v>24415.9935659901</v>
      </c>
    </row>
    <row r="277" customFormat="false" ht="15" hidden="false" customHeight="false" outlineLevel="0" collapsed="false">
      <c r="A277" s="17" t="str">
        <f aca="false">Portfolio!A277</f>
        <v>UKSME-102547</v>
      </c>
      <c r="B277" s="17" t="str">
        <f aca="false">Portfolio!B277</f>
        <v>Real Estate</v>
      </c>
      <c r="C277" s="21" t="n">
        <f aca="false">Portfolio!D277</f>
        <v>130050</v>
      </c>
      <c r="D277" s="22" t="n">
        <f aca="false">Portfolio!G277</f>
        <v>0.40449022860665</v>
      </c>
      <c r="E277" s="23" t="n">
        <f aca="false">Portfolio!E277</f>
        <v>0.285</v>
      </c>
      <c r="F277" s="17" t="n">
        <f aca="false">Portfolio!F277</f>
        <v>95</v>
      </c>
      <c r="G277" s="16" t="str">
        <f aca="false">IF(OR(F277&gt;='Cover &amp; Assumptions'!$C$22,Portfolio!I277=1),"Stage 3",IF(OR(F277&gt;=30,D277&gt;'Cover &amp; Assumptions'!$C$21),"Stage 2","Stage 1"))</f>
        <v>Stage 3</v>
      </c>
      <c r="H277" s="16" t="n">
        <f aca="false">IF(G277="Stage 1",12,MIN(Portfolio!H277,60))</f>
        <v>60</v>
      </c>
      <c r="I277" s="24" t="n">
        <f aca="false">1-(1-D277)^(H277/12)</f>
        <v>0.92510644258668</v>
      </c>
      <c r="J277" s="24" t="n">
        <f aca="false">IF(G277="Stage 1",D277,I277)</f>
        <v>0.92510644258668</v>
      </c>
      <c r="K277" s="25" t="n">
        <f aca="false">J277*'Cover &amp; Assumptions'!$D$11*E277*'Cover &amp; Assumptions'!$E$11*C277</f>
        <v>27687.8639951995</v>
      </c>
      <c r="L277" s="25" t="n">
        <f aca="false">J277*'Cover &amp; Assumptions'!$D$12*E277*'Cover &amp; Assumptions'!$E$12*C277</f>
        <v>34288.3764646434</v>
      </c>
      <c r="M277" s="25" t="n">
        <f aca="false">J277*'Cover &amp; Assumptions'!$D$13*E277*'Cover &amp; Assumptions'!$E$13*C277</f>
        <v>59661.7750484794</v>
      </c>
      <c r="N277" s="25" t="n">
        <f aca="false">K277*'Cover &amp; Assumptions'!$C$11+L277*'Cover &amp; Assumptions'!$C$12+M277*'Cover &amp; Assumptions'!$C$13</f>
        <v>39311.6236167136</v>
      </c>
    </row>
    <row r="278" customFormat="false" ht="15" hidden="false" customHeight="false" outlineLevel="0" collapsed="false">
      <c r="A278" s="17" t="str">
        <f aca="false">Portfolio!A278</f>
        <v>UKSME-106113</v>
      </c>
      <c r="B278" s="17" t="str">
        <f aca="false">Portfolio!B278</f>
        <v>Manufacturing</v>
      </c>
      <c r="C278" s="21" t="n">
        <f aca="false">Portfolio!D278</f>
        <v>65517</v>
      </c>
      <c r="D278" s="22" t="n">
        <f aca="false">Portfolio!G278</f>
        <v>0.259111242128476</v>
      </c>
      <c r="E278" s="23" t="n">
        <f aca="false">Portfolio!E278</f>
        <v>0.345</v>
      </c>
      <c r="F278" s="17" t="n">
        <f aca="false">Portfolio!F278</f>
        <v>0</v>
      </c>
      <c r="G278" s="16" t="str">
        <f aca="false">IF(OR(F278&gt;='Cover &amp; Assumptions'!$C$22,Portfolio!I278=1),"Stage 3",IF(OR(F278&gt;=30,D278&gt;'Cover &amp; Assumptions'!$C$21),"Stage 2","Stage 1"))</f>
        <v>Stage 3</v>
      </c>
      <c r="H278" s="16" t="n">
        <f aca="false">IF(G278="Stage 1",12,MIN(Portfolio!H278,60))</f>
        <v>60</v>
      </c>
      <c r="I278" s="24" t="n">
        <f aca="false">1-(1-D278)^(H278/12)</f>
        <v>0.776763592654319</v>
      </c>
      <c r="J278" s="24" t="n">
        <f aca="false">IF(G278="Stage 1",D278,I278)</f>
        <v>0.776763592654319</v>
      </c>
      <c r="K278" s="25" t="n">
        <f aca="false">J278*'Cover &amp; Assumptions'!$D$11*E278*'Cover &amp; Assumptions'!$E$11*C278</f>
        <v>14177.6578353076</v>
      </c>
      <c r="L278" s="25" t="n">
        <f aca="false">J278*'Cover &amp; Assumptions'!$D$12*E278*'Cover &amp; Assumptions'!$E$12*C278</f>
        <v>17557.4710034769</v>
      </c>
      <c r="M278" s="25" t="n">
        <f aca="false">J278*'Cover &amp; Assumptions'!$D$13*E278*'Cover &amp; Assumptions'!$E$13*C278</f>
        <v>30549.9995460498</v>
      </c>
      <c r="N278" s="25" t="n">
        <f aca="false">K278*'Cover &amp; Assumptions'!$C$11+L278*'Cover &amp; Assumptions'!$C$12+M278*'Cover &amp; Assumptions'!$C$13</f>
        <v>20129.6405054863</v>
      </c>
    </row>
    <row r="279" customFormat="false" ht="15" hidden="false" customHeight="false" outlineLevel="0" collapsed="false">
      <c r="A279" s="17" t="str">
        <f aca="false">Portfolio!A279</f>
        <v>UKSME-103179</v>
      </c>
      <c r="B279" s="17" t="str">
        <f aca="false">Portfolio!B279</f>
        <v>Transport</v>
      </c>
      <c r="C279" s="21" t="n">
        <f aca="false">Portfolio!D279</f>
        <v>23197</v>
      </c>
      <c r="D279" s="22" t="n">
        <f aca="false">Portfolio!G279</f>
        <v>0.175263403119148</v>
      </c>
      <c r="E279" s="23" t="n">
        <f aca="false">Portfolio!E279</f>
        <v>0.379</v>
      </c>
      <c r="F279" s="17" t="n">
        <f aca="false">Portfolio!F279</f>
        <v>0</v>
      </c>
      <c r="G279" s="16" t="str">
        <f aca="false">IF(OR(F279&gt;='Cover &amp; Assumptions'!$C$22,Portfolio!I279=1),"Stage 3",IF(OR(F279&gt;=30,D279&gt;'Cover &amp; Assumptions'!$C$21),"Stage 2","Stage 1"))</f>
        <v>Stage 2</v>
      </c>
      <c r="H279" s="16" t="n">
        <f aca="false">IF(G279="Stage 1",12,MIN(Portfolio!H279,60))</f>
        <v>36</v>
      </c>
      <c r="I279" s="24" t="n">
        <f aca="false">1-(1-D279)^(H279/12)</f>
        <v>0.439022039543709</v>
      </c>
      <c r="J279" s="24" t="n">
        <f aca="false">IF(G279="Stage 1",D279,I279)</f>
        <v>0.439022039543709</v>
      </c>
      <c r="K279" s="25" t="n">
        <f aca="false">J279*'Cover &amp; Assumptions'!$D$11*E279*'Cover &amp; Assumptions'!$E$11*C279</f>
        <v>3116.73506065208</v>
      </c>
      <c r="L279" s="25" t="n">
        <f aca="false">J279*'Cover &amp; Assumptions'!$D$12*E279*'Cover &amp; Assumptions'!$E$12*C279</f>
        <v>3859.73382124096</v>
      </c>
      <c r="M279" s="25" t="n">
        <f aca="false">J279*'Cover &amp; Assumptions'!$D$13*E279*'Cover &amp; Assumptions'!$E$13*C279</f>
        <v>6715.93684895927</v>
      </c>
      <c r="N279" s="25" t="n">
        <f aca="false">K279*'Cover &amp; Assumptions'!$C$11+L279*'Cover &amp; Assumptions'!$C$12+M279*'Cover &amp; Assumptions'!$C$13</f>
        <v>4425.18482605276</v>
      </c>
    </row>
    <row r="280" customFormat="false" ht="15" hidden="false" customHeight="false" outlineLevel="0" collapsed="false">
      <c r="A280" s="17" t="str">
        <f aca="false">Portfolio!A280</f>
        <v>UKSME-108715</v>
      </c>
      <c r="B280" s="17" t="str">
        <f aca="false">Portfolio!B280</f>
        <v>Healthcare</v>
      </c>
      <c r="C280" s="21" t="n">
        <f aca="false">Portfolio!D280</f>
        <v>19352</v>
      </c>
      <c r="D280" s="22" t="n">
        <f aca="false">Portfolio!G280</f>
        <v>0.138621616198608</v>
      </c>
      <c r="E280" s="23" t="n">
        <f aca="false">Portfolio!E280</f>
        <v>0.199</v>
      </c>
      <c r="F280" s="17" t="n">
        <f aca="false">Portfolio!F280</f>
        <v>0</v>
      </c>
      <c r="G280" s="16" t="str">
        <f aca="false">IF(OR(F280&gt;='Cover &amp; Assumptions'!$C$22,Portfolio!I280=1),"Stage 3",IF(OR(F280&gt;=30,D280&gt;'Cover &amp; Assumptions'!$C$21),"Stage 2","Stage 1"))</f>
        <v>Stage 1</v>
      </c>
      <c r="H280" s="16" t="n">
        <f aca="false">IF(G280="Stage 1",12,MIN(Portfolio!H280,60))</f>
        <v>12</v>
      </c>
      <c r="I280" s="24" t="n">
        <f aca="false">1-(1-D280)^(H280/12)</f>
        <v>0.138621616198608</v>
      </c>
      <c r="J280" s="24" t="n">
        <f aca="false">IF(G280="Stage 1",D280,I280)</f>
        <v>0.138621616198608</v>
      </c>
      <c r="K280" s="25" t="n">
        <f aca="false">J280*'Cover &amp; Assumptions'!$D$11*E280*'Cover &amp; Assumptions'!$E$11*C280</f>
        <v>431.074586988371</v>
      </c>
      <c r="L280" s="25" t="n">
        <f aca="false">J280*'Cover &amp; Assumptions'!$D$12*E280*'Cover &amp; Assumptions'!$E$12*C280</f>
        <v>533.838497818417</v>
      </c>
      <c r="M280" s="25" t="n">
        <f aca="false">J280*'Cover &amp; Assumptions'!$D$13*E280*'Cover &amp; Assumptions'!$E$13*C280</f>
        <v>928.878986204045</v>
      </c>
      <c r="N280" s="25" t="n">
        <f aca="false">K280*'Cover &amp; Assumptions'!$C$11+L280*'Cover &amp; Assumptions'!$C$12+M280*'Cover &amp; Assumptions'!$C$13</f>
        <v>612.045837748815</v>
      </c>
    </row>
    <row r="281" customFormat="false" ht="15" hidden="false" customHeight="false" outlineLevel="0" collapsed="false">
      <c r="A281" s="17" t="str">
        <f aca="false">Portfolio!A281</f>
        <v>UKSME-101213</v>
      </c>
      <c r="B281" s="17" t="str">
        <f aca="false">Portfolio!B281</f>
        <v>Technology</v>
      </c>
      <c r="C281" s="21" t="n">
        <f aca="false">Portfolio!D281</f>
        <v>46772</v>
      </c>
      <c r="D281" s="22" t="n">
        <f aca="false">Portfolio!G281</f>
        <v>0.203137041329651</v>
      </c>
      <c r="E281" s="23" t="n">
        <f aca="false">Portfolio!E281</f>
        <v>0.497</v>
      </c>
      <c r="F281" s="17" t="n">
        <f aca="false">Portfolio!F281</f>
        <v>0</v>
      </c>
      <c r="G281" s="16" t="str">
        <f aca="false">IF(OR(F281&gt;='Cover &amp; Assumptions'!$C$22,Portfolio!I281=1),"Stage 3",IF(OR(F281&gt;=30,D281&gt;'Cover &amp; Assumptions'!$C$21),"Stage 2","Stage 1"))</f>
        <v>Stage 3</v>
      </c>
      <c r="H281" s="16" t="n">
        <f aca="false">IF(G281="Stage 1",12,MIN(Portfolio!H281,60))</f>
        <v>24</v>
      </c>
      <c r="I281" s="24" t="n">
        <f aca="false">1-(1-D281)^(H281/12)</f>
        <v>0.365009425099138</v>
      </c>
      <c r="J281" s="24" t="n">
        <f aca="false">IF(G281="Stage 1",D281,I281)</f>
        <v>0.365009425099138</v>
      </c>
      <c r="K281" s="25" t="n">
        <f aca="false">J281*'Cover &amp; Assumptions'!$D$11*E281*'Cover &amp; Assumptions'!$E$11*C281</f>
        <v>6851.55170544756</v>
      </c>
      <c r="L281" s="25" t="n">
        <f aca="false">J281*'Cover &amp; Assumptions'!$D$12*E281*'Cover &amp; Assumptions'!$E$12*C281</f>
        <v>8484.89375287623</v>
      </c>
      <c r="M281" s="25" t="n">
        <f aca="false">J281*'Cover &amp; Assumptions'!$D$13*E281*'Cover &amp; Assumptions'!$E$13*C281</f>
        <v>14763.7151300046</v>
      </c>
      <c r="N281" s="25" t="n">
        <f aca="false">K281*'Cover &amp; Assumptions'!$C$11+L281*'Cover &amp; Assumptions'!$C$12+M281*'Cover &amp; Assumptions'!$C$13</f>
        <v>9727.9306876726</v>
      </c>
    </row>
    <row r="282" customFormat="false" ht="15" hidden="false" customHeight="false" outlineLevel="0" collapsed="false">
      <c r="A282" s="17" t="str">
        <f aca="false">Portfolio!A282</f>
        <v>UKSME-104833</v>
      </c>
      <c r="B282" s="17" t="str">
        <f aca="false">Portfolio!B282</f>
        <v>Wholesale</v>
      </c>
      <c r="C282" s="21" t="n">
        <f aca="false">Portfolio!D282</f>
        <v>26334</v>
      </c>
      <c r="D282" s="22" t="n">
        <f aca="false">Portfolio!G282</f>
        <v>0.181361659760287</v>
      </c>
      <c r="E282" s="23" t="n">
        <f aca="false">Portfolio!E282</f>
        <v>0.521</v>
      </c>
      <c r="F282" s="17" t="n">
        <f aca="false">Portfolio!F282</f>
        <v>0</v>
      </c>
      <c r="G282" s="16" t="str">
        <f aca="false">IF(OR(F282&gt;='Cover &amp; Assumptions'!$C$22,Portfolio!I282=1),"Stage 3",IF(OR(F282&gt;=30,D282&gt;'Cover &amp; Assumptions'!$C$21),"Stage 2","Stage 1"))</f>
        <v>Stage 2</v>
      </c>
      <c r="H282" s="16" t="n">
        <f aca="false">IF(G282="Stage 1",12,MIN(Portfolio!H282,60))</f>
        <v>60</v>
      </c>
      <c r="I282" s="24" t="n">
        <f aca="false">1-(1-D282)^(H282/12)</f>
        <v>0.632328130789058</v>
      </c>
      <c r="J282" s="24" t="n">
        <f aca="false">IF(G282="Stage 1",D282,I282)</f>
        <v>0.632328130789058</v>
      </c>
      <c r="K282" s="25" t="n">
        <f aca="false">J282*'Cover &amp; Assumptions'!$D$11*E282*'Cover &amp; Assumptions'!$E$11*C282</f>
        <v>7005.50727666842</v>
      </c>
      <c r="L282" s="25" t="n">
        <f aca="false">J282*'Cover &amp; Assumptions'!$D$12*E282*'Cover &amp; Assumptions'!$E$12*C282</f>
        <v>8675.55080701971</v>
      </c>
      <c r="M282" s="25" t="n">
        <f aca="false">J282*'Cover &amp; Assumptions'!$D$13*E282*'Cover &amp; Assumptions'!$E$13*C282</f>
        <v>15095.4584042143</v>
      </c>
      <c r="N282" s="25" t="n">
        <f aca="false">K282*'Cover &amp; Assumptions'!$C$11+L282*'Cover &amp; Assumptions'!$C$12+M282*'Cover &amp; Assumptions'!$C$13</f>
        <v>9946.5190002481</v>
      </c>
    </row>
    <row r="283" customFormat="false" ht="15" hidden="false" customHeight="false" outlineLevel="0" collapsed="false">
      <c r="A283" s="17" t="str">
        <f aca="false">Portfolio!A283</f>
        <v>UKSME-107953</v>
      </c>
      <c r="B283" s="17" t="str">
        <f aca="false">Portfolio!B283</f>
        <v>Construction</v>
      </c>
      <c r="C283" s="21" t="n">
        <f aca="false">Portfolio!D283</f>
        <v>41660</v>
      </c>
      <c r="D283" s="22" t="n">
        <f aca="false">Portfolio!G283</f>
        <v>0.241227274886721</v>
      </c>
      <c r="E283" s="23" t="n">
        <f aca="false">Portfolio!E283</f>
        <v>0.242</v>
      </c>
      <c r="F283" s="17" t="n">
        <f aca="false">Portfolio!F283</f>
        <v>0</v>
      </c>
      <c r="G283" s="16" t="str">
        <f aca="false">IF(OR(F283&gt;='Cover &amp; Assumptions'!$C$22,Portfolio!I283=1),"Stage 3",IF(OR(F283&gt;=30,D283&gt;'Cover &amp; Assumptions'!$C$21),"Stage 2","Stage 1"))</f>
        <v>Stage 3</v>
      </c>
      <c r="H283" s="16" t="n">
        <f aca="false">IF(G283="Stage 1",12,MIN(Portfolio!H283,60))</f>
        <v>36</v>
      </c>
      <c r="I283" s="24" t="n">
        <f aca="false">1-(1-D283)^(H283/12)</f>
        <v>0.56314718962792</v>
      </c>
      <c r="J283" s="24" t="n">
        <f aca="false">IF(G283="Stage 1",D283,I283)</f>
        <v>0.56314718962792</v>
      </c>
      <c r="K283" s="25" t="n">
        <f aca="false">J283*'Cover &amp; Assumptions'!$D$11*E283*'Cover &amp; Assumptions'!$E$11*C283</f>
        <v>4584.57501982709</v>
      </c>
      <c r="L283" s="25" t="n">
        <f aca="false">J283*'Cover &amp; Assumptions'!$D$12*E283*'Cover &amp; Assumptions'!$E$12*C283</f>
        <v>5677.49228461559</v>
      </c>
      <c r="M283" s="25" t="n">
        <f aca="false">J283*'Cover &amp; Assumptions'!$D$13*E283*'Cover &amp; Assumptions'!$E$13*C283</f>
        <v>9878.83657523113</v>
      </c>
      <c r="N283" s="25" t="n">
        <f aca="false">K283*'Cover &amp; Assumptions'!$C$11+L283*'Cover &amp; Assumptions'!$C$12+M283*'Cover &amp; Assumptions'!$C$13</f>
        <v>6509.24490431178</v>
      </c>
    </row>
    <row r="284" customFormat="false" ht="15" hidden="false" customHeight="false" outlineLevel="0" collapsed="false">
      <c r="A284" s="17" t="str">
        <f aca="false">Portfolio!A284</f>
        <v>UKSME-104184</v>
      </c>
      <c r="B284" s="17" t="str">
        <f aca="false">Portfolio!B284</f>
        <v>Professional Services</v>
      </c>
      <c r="C284" s="21" t="n">
        <f aca="false">Portfolio!D284</f>
        <v>46853</v>
      </c>
      <c r="D284" s="22" t="n">
        <f aca="false">Portfolio!G284</f>
        <v>0.141126326030338</v>
      </c>
      <c r="E284" s="23" t="n">
        <f aca="false">Portfolio!E284</f>
        <v>0.727</v>
      </c>
      <c r="F284" s="17" t="n">
        <f aca="false">Portfolio!F284</f>
        <v>0</v>
      </c>
      <c r="G284" s="16" t="str">
        <f aca="false">IF(OR(F284&gt;='Cover &amp; Assumptions'!$C$22,Portfolio!I284=1),"Stage 3",IF(OR(F284&gt;=30,D284&gt;'Cover &amp; Assumptions'!$C$21),"Stage 2","Stage 1"))</f>
        <v>Stage 1</v>
      </c>
      <c r="H284" s="16" t="n">
        <f aca="false">IF(G284="Stage 1",12,MIN(Portfolio!H284,60))</f>
        <v>12</v>
      </c>
      <c r="I284" s="24" t="n">
        <f aca="false">1-(1-D284)^(H284/12)</f>
        <v>0.141126326030338</v>
      </c>
      <c r="J284" s="24" t="n">
        <f aca="false">IF(G284="Stage 1",D284,I284)</f>
        <v>0.141126326030338</v>
      </c>
      <c r="K284" s="25" t="n">
        <f aca="false">J284*'Cover &amp; Assumptions'!$D$11*E284*'Cover &amp; Assumptions'!$E$11*C284</f>
        <v>3881.70369937121</v>
      </c>
      <c r="L284" s="25" t="n">
        <f aca="false">J284*'Cover &amp; Assumptions'!$D$12*E284*'Cover &amp; Assumptions'!$E$12*C284</f>
        <v>4807.06340479407</v>
      </c>
      <c r="M284" s="25" t="n">
        <f aca="false">J284*'Cover &amp; Assumptions'!$D$13*E284*'Cover &amp; Assumptions'!$E$13*C284</f>
        <v>8364.29032434168</v>
      </c>
      <c r="N284" s="25" t="n">
        <f aca="false">K284*'Cover &amp; Assumptions'!$C$11+L284*'Cover &amp; Assumptions'!$C$12+M284*'Cover &amp; Assumptions'!$C$13</f>
        <v>5511.2981935964</v>
      </c>
    </row>
    <row r="285" customFormat="false" ht="15" hidden="false" customHeight="false" outlineLevel="0" collapsed="false">
      <c r="A285" s="17" t="str">
        <f aca="false">Portfolio!A285</f>
        <v>UKSME-101589</v>
      </c>
      <c r="B285" s="17" t="str">
        <f aca="false">Portfolio!B285</f>
        <v>Wholesale</v>
      </c>
      <c r="C285" s="21" t="n">
        <f aca="false">Portfolio!D285</f>
        <v>26699</v>
      </c>
      <c r="D285" s="22" t="n">
        <f aca="false">Portfolio!G285</f>
        <v>0.174671947393234</v>
      </c>
      <c r="E285" s="23" t="n">
        <f aca="false">Portfolio!E285</f>
        <v>0.175</v>
      </c>
      <c r="F285" s="17" t="n">
        <f aca="false">Portfolio!F285</f>
        <v>0</v>
      </c>
      <c r="G285" s="16" t="str">
        <f aca="false">IF(OR(F285&gt;='Cover &amp; Assumptions'!$C$22,Portfolio!I285=1),"Stage 3",IF(OR(F285&gt;=30,D285&gt;'Cover &amp; Assumptions'!$C$21),"Stage 2","Stage 1"))</f>
        <v>Stage 2</v>
      </c>
      <c r="H285" s="16" t="n">
        <f aca="false">IF(G285="Stage 1",12,MIN(Portfolio!H285,60))</f>
        <v>60</v>
      </c>
      <c r="I285" s="24" t="n">
        <f aca="false">1-(1-D285)^(H285/12)</f>
        <v>0.617057970708122</v>
      </c>
      <c r="J285" s="24" t="n">
        <f aca="false">IF(G285="Stage 1",D285,I285)</f>
        <v>0.617057970708122</v>
      </c>
      <c r="K285" s="25" t="n">
        <f aca="false">J285*'Cover &amp; Assumptions'!$D$11*E285*'Cover &amp; Assumptions'!$E$11*C285</f>
        <v>2328.09952176348</v>
      </c>
      <c r="L285" s="25" t="n">
        <f aca="false">J285*'Cover &amp; Assumptions'!$D$12*E285*'Cover &amp; Assumptions'!$E$12*C285</f>
        <v>2883.09538298883</v>
      </c>
      <c r="M285" s="25" t="n">
        <f aca="false">J285*'Cover &amp; Assumptions'!$D$13*E285*'Cover &amp; Assumptions'!$E$13*C285</f>
        <v>5016.58596640056</v>
      </c>
      <c r="N285" s="25" t="n">
        <f aca="false">K285*'Cover &amp; Assumptions'!$C$11+L285*'Cover &amp; Assumptions'!$C$12+M285*'Cover &amp; Assumptions'!$C$13</f>
        <v>3305.46885659669</v>
      </c>
    </row>
    <row r="286" customFormat="false" ht="15" hidden="false" customHeight="false" outlineLevel="0" collapsed="false">
      <c r="A286" s="17" t="str">
        <f aca="false">Portfolio!A286</f>
        <v>UKSME-102346</v>
      </c>
      <c r="B286" s="17" t="str">
        <f aca="false">Portfolio!B286</f>
        <v>Professional Services</v>
      </c>
      <c r="C286" s="21" t="n">
        <f aca="false">Portfolio!D286</f>
        <v>64770</v>
      </c>
      <c r="D286" s="22" t="n">
        <f aca="false">Portfolio!G286</f>
        <v>0.0943716225837392</v>
      </c>
      <c r="E286" s="23" t="n">
        <f aca="false">Portfolio!E286</f>
        <v>0.213</v>
      </c>
      <c r="F286" s="17" t="n">
        <f aca="false">Portfolio!F286</f>
        <v>0</v>
      </c>
      <c r="G286" s="16" t="str">
        <f aca="false">IF(OR(F286&gt;='Cover &amp; Assumptions'!$C$22,Portfolio!I286=1),"Stage 3",IF(OR(F286&gt;=30,D286&gt;'Cover &amp; Assumptions'!$C$21),"Stage 2","Stage 1"))</f>
        <v>Stage 1</v>
      </c>
      <c r="H286" s="16" t="n">
        <f aca="false">IF(G286="Stage 1",12,MIN(Portfolio!H286,60))</f>
        <v>12</v>
      </c>
      <c r="I286" s="24" t="n">
        <f aca="false">1-(1-D286)^(H286/12)</f>
        <v>0.0943716225837392</v>
      </c>
      <c r="J286" s="24" t="n">
        <f aca="false">IF(G286="Stage 1",D286,I286)</f>
        <v>0.0943716225837392</v>
      </c>
      <c r="K286" s="25" t="n">
        <f aca="false">J286*'Cover &amp; Assumptions'!$D$11*E286*'Cover &amp; Assumptions'!$E$11*C286</f>
        <v>1051.3261179718</v>
      </c>
      <c r="L286" s="25" t="n">
        <f aca="false">J286*'Cover &amp; Assumptions'!$D$12*E286*'Cover &amp; Assumptions'!$E$12*C286</f>
        <v>1301.95184888149</v>
      </c>
      <c r="M286" s="25" t="n">
        <f aca="false">J286*'Cover &amp; Assumptions'!$D$13*E286*'Cover &amp; Assumptions'!$E$13*C286</f>
        <v>2265.3962170538</v>
      </c>
      <c r="N286" s="25" t="n">
        <f aca="false">K286*'Cover &amp; Assumptions'!$C$11+L286*'Cover &amp; Assumptions'!$C$12+M286*'Cover &amp; Assumptions'!$C$13</f>
        <v>1492.68779474263</v>
      </c>
    </row>
    <row r="287" customFormat="false" ht="15" hidden="false" customHeight="false" outlineLevel="0" collapsed="false">
      <c r="A287" s="17" t="str">
        <f aca="false">Portfolio!A287</f>
        <v>UKSME-102037</v>
      </c>
      <c r="B287" s="17" t="str">
        <f aca="false">Portfolio!B287</f>
        <v>Professional Services</v>
      </c>
      <c r="C287" s="21" t="n">
        <f aca="false">Portfolio!D287</f>
        <v>109733</v>
      </c>
      <c r="D287" s="22" t="n">
        <f aca="false">Portfolio!G287</f>
        <v>0.0538609119997042</v>
      </c>
      <c r="E287" s="23" t="n">
        <f aca="false">Portfolio!E287</f>
        <v>0.564</v>
      </c>
      <c r="F287" s="17" t="n">
        <f aca="false">Portfolio!F287</f>
        <v>0</v>
      </c>
      <c r="G287" s="16" t="str">
        <f aca="false">IF(OR(F287&gt;='Cover &amp; Assumptions'!$C$22,Portfolio!I287=1),"Stage 3",IF(OR(F287&gt;=30,D287&gt;'Cover &amp; Assumptions'!$C$21),"Stage 2","Stage 1"))</f>
        <v>Stage 1</v>
      </c>
      <c r="H287" s="16" t="n">
        <f aca="false">IF(G287="Stage 1",12,MIN(Portfolio!H287,60))</f>
        <v>12</v>
      </c>
      <c r="I287" s="24" t="n">
        <f aca="false">1-(1-D287)^(H287/12)</f>
        <v>0.0538609119997042</v>
      </c>
      <c r="J287" s="24" t="n">
        <f aca="false">IF(G287="Stage 1",D287,I287)</f>
        <v>0.0538609119997042</v>
      </c>
      <c r="K287" s="25" t="n">
        <f aca="false">J287*'Cover &amp; Assumptions'!$D$11*E287*'Cover &amp; Assumptions'!$E$11*C287</f>
        <v>2691.73679005719</v>
      </c>
      <c r="L287" s="25" t="n">
        <f aca="false">J287*'Cover &amp; Assumptions'!$D$12*E287*'Cover &amp; Assumptions'!$E$12*C287</f>
        <v>3333.42017344544</v>
      </c>
      <c r="M287" s="25" t="n">
        <f aca="false">J287*'Cover &amp; Assumptions'!$D$13*E287*'Cover &amp; Assumptions'!$E$13*C287</f>
        <v>5800.15110179506</v>
      </c>
      <c r="N287" s="25" t="n">
        <f aca="false">K287*'Cover &amp; Assumptions'!$C$11+L287*'Cover &amp; Assumptions'!$C$12+M287*'Cover &amp; Assumptions'!$C$13</f>
        <v>3821.76622885519</v>
      </c>
    </row>
    <row r="288" customFormat="false" ht="15" hidden="false" customHeight="false" outlineLevel="0" collapsed="false">
      <c r="A288" s="17" t="str">
        <f aca="false">Portfolio!A288</f>
        <v>UKSME-109122</v>
      </c>
      <c r="B288" s="17" t="str">
        <f aca="false">Portfolio!B288</f>
        <v>Hospitality</v>
      </c>
      <c r="C288" s="21" t="n">
        <f aca="false">Portfolio!D288</f>
        <v>41313</v>
      </c>
      <c r="D288" s="22" t="n">
        <f aca="false">Portfolio!G288</f>
        <v>0.166631950241968</v>
      </c>
      <c r="E288" s="23" t="n">
        <f aca="false">Portfolio!E288</f>
        <v>0.351</v>
      </c>
      <c r="F288" s="17" t="n">
        <f aca="false">Portfolio!F288</f>
        <v>0</v>
      </c>
      <c r="G288" s="16" t="str">
        <f aca="false">IF(OR(F288&gt;='Cover &amp; Assumptions'!$C$22,Portfolio!I288=1),"Stage 3",IF(OR(F288&gt;=30,D288&gt;'Cover &amp; Assumptions'!$C$21),"Stage 2","Stage 1"))</f>
        <v>Stage 2</v>
      </c>
      <c r="H288" s="16" t="n">
        <f aca="false">IF(G288="Stage 1",12,MIN(Portfolio!H288,60))</f>
        <v>48</v>
      </c>
      <c r="I288" s="24" t="n">
        <f aca="false">1-(1-D288)^(H288/12)</f>
        <v>0.517666546464105</v>
      </c>
      <c r="J288" s="24" t="n">
        <f aca="false">IF(G288="Stage 1",D288,I288)</f>
        <v>0.517666546464105</v>
      </c>
      <c r="K288" s="25" t="n">
        <f aca="false">J288*'Cover &amp; Assumptions'!$D$11*E288*'Cover &amp; Assumptions'!$E$11*C288</f>
        <v>6061.58892349199</v>
      </c>
      <c r="L288" s="25" t="n">
        <f aca="false">J288*'Cover &amp; Assumptions'!$D$12*E288*'Cover &amp; Assumptions'!$E$12*C288</f>
        <v>7506.61166995912</v>
      </c>
      <c r="M288" s="25" t="n">
        <f aca="false">J288*'Cover &amp; Assumptions'!$D$13*E288*'Cover &amp; Assumptions'!$E$13*C288</f>
        <v>13061.5043057289</v>
      </c>
      <c r="N288" s="25" t="n">
        <f aca="false">K288*'Cover &amp; Assumptions'!$C$11+L288*'Cover &amp; Assumptions'!$C$12+M288*'Cover &amp; Assumptions'!$C$13</f>
        <v>8606.33027960813</v>
      </c>
    </row>
    <row r="289" customFormat="false" ht="15" hidden="false" customHeight="false" outlineLevel="0" collapsed="false">
      <c r="A289" s="17" t="str">
        <f aca="false">Portfolio!A289</f>
        <v>UKSME-101243</v>
      </c>
      <c r="B289" s="17" t="str">
        <f aca="false">Portfolio!B289</f>
        <v>Real Estate</v>
      </c>
      <c r="C289" s="21" t="n">
        <f aca="false">Portfolio!D289</f>
        <v>82638</v>
      </c>
      <c r="D289" s="22" t="n">
        <f aca="false">Portfolio!G289</f>
        <v>0.185007375558027</v>
      </c>
      <c r="E289" s="23" t="n">
        <f aca="false">Portfolio!E289</f>
        <v>0.433</v>
      </c>
      <c r="F289" s="17" t="n">
        <f aca="false">Portfolio!F289</f>
        <v>0</v>
      </c>
      <c r="G289" s="16" t="str">
        <f aca="false">IF(OR(F289&gt;='Cover &amp; Assumptions'!$C$22,Portfolio!I289=1),"Stage 3",IF(OR(F289&gt;=30,D289&gt;'Cover &amp; Assumptions'!$C$21),"Stage 2","Stage 1"))</f>
        <v>Stage 2</v>
      </c>
      <c r="H289" s="16" t="n">
        <f aca="false">IF(G289="Stage 1",12,MIN(Portfolio!H289,60))</f>
        <v>48</v>
      </c>
      <c r="I289" s="24" t="n">
        <f aca="false">1-(1-D289)^(H289/12)</f>
        <v>0.558821119996102</v>
      </c>
      <c r="J289" s="24" t="n">
        <f aca="false">IF(G289="Stage 1",D289,I289)</f>
        <v>0.558821119996102</v>
      </c>
      <c r="K289" s="25" t="n">
        <f aca="false">J289*'Cover &amp; Assumptions'!$D$11*E289*'Cover &amp; Assumptions'!$E$11*C289</f>
        <v>16146.672499434</v>
      </c>
      <c r="L289" s="25" t="n">
        <f aca="false">J289*'Cover &amp; Assumptions'!$D$12*E289*'Cover &amp; Assumptions'!$E$12*C289</f>
        <v>19995.879256265</v>
      </c>
      <c r="M289" s="25" t="n">
        <f aca="false">J289*'Cover &amp; Assumptions'!$D$13*E289*'Cover &amp; Assumptions'!$E$13*C289</f>
        <v>34792.8299059011</v>
      </c>
      <c r="N289" s="25" t="n">
        <f aca="false">K289*'Cover &amp; Assumptions'!$C$11+L289*'Cover &amp; Assumptions'!$C$12+M289*'Cover &amp; Assumptions'!$C$13</f>
        <v>22925.2755673078</v>
      </c>
    </row>
    <row r="290" customFormat="false" ht="15" hidden="false" customHeight="false" outlineLevel="0" collapsed="false">
      <c r="A290" s="17" t="str">
        <f aca="false">Portfolio!A290</f>
        <v>UKSME-100079</v>
      </c>
      <c r="B290" s="17" t="str">
        <f aca="false">Portfolio!B290</f>
        <v>Wholesale</v>
      </c>
      <c r="C290" s="21" t="n">
        <f aca="false">Portfolio!D290</f>
        <v>25941</v>
      </c>
      <c r="D290" s="22" t="n">
        <f aca="false">Portfolio!G290</f>
        <v>0.158848074538779</v>
      </c>
      <c r="E290" s="23" t="n">
        <f aca="false">Portfolio!E290</f>
        <v>0.765</v>
      </c>
      <c r="F290" s="17" t="n">
        <f aca="false">Portfolio!F290</f>
        <v>0</v>
      </c>
      <c r="G290" s="16" t="str">
        <f aca="false">IF(OR(F290&gt;='Cover &amp; Assumptions'!$C$22,Portfolio!I290=1),"Stage 3",IF(OR(F290&gt;=30,D290&gt;'Cover &amp; Assumptions'!$C$21),"Stage 2","Stage 1"))</f>
        <v>Stage 2</v>
      </c>
      <c r="H290" s="16" t="n">
        <f aca="false">IF(G290="Stage 1",12,MIN(Portfolio!H290,60))</f>
        <v>60</v>
      </c>
      <c r="I290" s="24" t="n">
        <f aca="false">1-(1-D290)^(H290/12)</f>
        <v>0.578912628546701</v>
      </c>
      <c r="J290" s="24" t="n">
        <f aca="false">IF(G290="Stage 1",D290,I290)</f>
        <v>0.578912628546701</v>
      </c>
      <c r="K290" s="25" t="n">
        <f aca="false">J290*'Cover &amp; Assumptions'!$D$11*E290*'Cover &amp; Assumptions'!$E$11*C290</f>
        <v>9276.91769044582</v>
      </c>
      <c r="L290" s="25" t="n">
        <f aca="false">J290*'Cover &amp; Assumptions'!$D$12*E290*'Cover &amp; Assumptions'!$E$12*C290</f>
        <v>11488.4429603044</v>
      </c>
      <c r="M290" s="25" t="n">
        <f aca="false">J290*'Cover &amp; Assumptions'!$D$13*E290*'Cover &amp; Assumptions'!$E$13*C290</f>
        <v>19989.8907509297</v>
      </c>
      <c r="N290" s="25" t="n">
        <f aca="false">K290*'Cover &amp; Assumptions'!$C$11+L290*'Cover &amp; Assumptions'!$C$12+M290*'Cover &amp; Assumptions'!$C$13</f>
        <v>13171.499853989</v>
      </c>
    </row>
    <row r="291" customFormat="false" ht="15" hidden="false" customHeight="false" outlineLevel="0" collapsed="false">
      <c r="A291" s="17" t="str">
        <f aca="false">Portfolio!A291</f>
        <v>UKSME-105686</v>
      </c>
      <c r="B291" s="17" t="str">
        <f aca="false">Portfolio!B291</f>
        <v>Real Estate</v>
      </c>
      <c r="C291" s="21" t="n">
        <f aca="false">Portfolio!D291</f>
        <v>22069</v>
      </c>
      <c r="D291" s="22" t="n">
        <f aca="false">Portfolio!G291</f>
        <v>0.103379115211535</v>
      </c>
      <c r="E291" s="23" t="n">
        <f aca="false">Portfolio!E291</f>
        <v>0.351</v>
      </c>
      <c r="F291" s="17" t="n">
        <f aca="false">Portfolio!F291</f>
        <v>0</v>
      </c>
      <c r="G291" s="16" t="str">
        <f aca="false">IF(OR(F291&gt;='Cover &amp; Assumptions'!$C$22,Portfolio!I291=1),"Stage 3",IF(OR(F291&gt;=30,D291&gt;'Cover &amp; Assumptions'!$C$21),"Stage 2","Stage 1"))</f>
        <v>Stage 1</v>
      </c>
      <c r="H291" s="16" t="n">
        <f aca="false">IF(G291="Stage 1",12,MIN(Portfolio!H291,60))</f>
        <v>12</v>
      </c>
      <c r="I291" s="24" t="n">
        <f aca="false">1-(1-D291)^(H291/12)</f>
        <v>0.103379115211535</v>
      </c>
      <c r="J291" s="24" t="n">
        <f aca="false">IF(G291="Stage 1",D291,I291)</f>
        <v>0.103379115211535</v>
      </c>
      <c r="K291" s="25" t="n">
        <f aca="false">J291*'Cover &amp; Assumptions'!$D$11*E291*'Cover &amp; Assumptions'!$E$11*C291</f>
        <v>646.643792662233</v>
      </c>
      <c r="L291" s="25" t="n">
        <f aca="false">J291*'Cover &amp; Assumptions'!$D$12*E291*'Cover &amp; Assumptions'!$E$12*C291</f>
        <v>800.797266454778</v>
      </c>
      <c r="M291" s="25" t="n">
        <f aca="false">J291*'Cover &amp; Assumptions'!$D$13*E291*'Cover &amp; Assumptions'!$E$13*C291</f>
        <v>1393.38724363131</v>
      </c>
      <c r="N291" s="25" t="n">
        <f aca="false">K291*'Cover &amp; Assumptions'!$C$11+L291*'Cover &amp; Assumptions'!$C$12+M291*'Cover &amp; Assumptions'!$C$13</f>
        <v>918.114065990402</v>
      </c>
    </row>
    <row r="292" customFormat="false" ht="15" hidden="false" customHeight="false" outlineLevel="0" collapsed="false">
      <c r="A292" s="17" t="str">
        <f aca="false">Portfolio!A292</f>
        <v>UKSME-106287</v>
      </c>
      <c r="B292" s="17" t="str">
        <f aca="false">Portfolio!B292</f>
        <v>Construction</v>
      </c>
      <c r="C292" s="21" t="n">
        <f aca="false">Portfolio!D292</f>
        <v>271739</v>
      </c>
      <c r="D292" s="22" t="n">
        <f aca="false">Portfolio!G292</f>
        <v>0.253572142414661</v>
      </c>
      <c r="E292" s="23" t="n">
        <f aca="false">Portfolio!E292</f>
        <v>0.05</v>
      </c>
      <c r="F292" s="17" t="n">
        <f aca="false">Portfolio!F292</f>
        <v>5</v>
      </c>
      <c r="G292" s="16" t="str">
        <f aca="false">IF(OR(F292&gt;='Cover &amp; Assumptions'!$C$22,Portfolio!I292=1),"Stage 3",IF(OR(F292&gt;=30,D292&gt;'Cover &amp; Assumptions'!$C$21),"Stage 2","Stage 1"))</f>
        <v>Stage 2</v>
      </c>
      <c r="H292" s="16" t="n">
        <f aca="false">IF(G292="Stage 1",12,MIN(Portfolio!H292,60))</f>
        <v>60</v>
      </c>
      <c r="I292" s="24" t="n">
        <f aca="false">1-(1-D292)^(H292/12)</f>
        <v>0.768292977114224</v>
      </c>
      <c r="J292" s="24" t="n">
        <f aca="false">IF(G292="Stage 1",D292,I292)</f>
        <v>0.768292977114224</v>
      </c>
      <c r="K292" s="25" t="n">
        <f aca="false">J292*'Cover &amp; Assumptions'!$D$11*E292*'Cover &amp; Assumptions'!$E$11*C292</f>
        <v>8429.2972993122</v>
      </c>
      <c r="L292" s="25" t="n">
        <f aca="false">J292*'Cover &amp; Assumptions'!$D$12*E292*'Cover &amp; Assumptions'!$E$12*C292</f>
        <v>10438.7582654021</v>
      </c>
      <c r="M292" s="25" t="n">
        <f aca="false">J292*'Cover &amp; Assumptions'!$D$13*E292*'Cover &amp; Assumptions'!$E$13*C292</f>
        <v>18163.4393817997</v>
      </c>
      <c r="N292" s="25" t="n">
        <f aca="false">K292*'Cover &amp; Assumptions'!$C$11+L292*'Cover &amp; Assumptions'!$C$12+M292*'Cover &amp; Assumptions'!$C$13</f>
        <v>11968.0363512835</v>
      </c>
    </row>
    <row r="293" customFormat="false" ht="15" hidden="false" customHeight="false" outlineLevel="0" collapsed="false">
      <c r="A293" s="17" t="str">
        <f aca="false">Portfolio!A293</f>
        <v>UKSME-100099</v>
      </c>
      <c r="B293" s="17" t="str">
        <f aca="false">Portfolio!B293</f>
        <v>Transport</v>
      </c>
      <c r="C293" s="21" t="n">
        <f aca="false">Portfolio!D293</f>
        <v>39093</v>
      </c>
      <c r="D293" s="22" t="n">
        <f aca="false">Portfolio!G293</f>
        <v>0.128222276954173</v>
      </c>
      <c r="E293" s="23" t="n">
        <f aca="false">Portfolio!E293</f>
        <v>0.405</v>
      </c>
      <c r="F293" s="17" t="n">
        <f aca="false">Portfolio!F293</f>
        <v>5</v>
      </c>
      <c r="G293" s="16" t="str">
        <f aca="false">IF(OR(F293&gt;='Cover &amp; Assumptions'!$C$22,Portfolio!I293=1),"Stage 3",IF(OR(F293&gt;=30,D293&gt;'Cover &amp; Assumptions'!$C$21),"Stage 2","Stage 1"))</f>
        <v>Stage 1</v>
      </c>
      <c r="H293" s="16" t="n">
        <f aca="false">IF(G293="Stage 1",12,MIN(Portfolio!H293,60))</f>
        <v>12</v>
      </c>
      <c r="I293" s="24" t="n">
        <f aca="false">1-(1-D293)^(H293/12)</f>
        <v>0.128222276954173</v>
      </c>
      <c r="J293" s="24" t="n">
        <f aca="false">IF(G293="Stage 1",D293,I293)</f>
        <v>0.128222276954173</v>
      </c>
      <c r="K293" s="25" t="n">
        <f aca="false">J293*'Cover &amp; Assumptions'!$D$11*E293*'Cover &amp; Assumptions'!$E$11*C293</f>
        <v>1639.30603791626</v>
      </c>
      <c r="L293" s="25" t="n">
        <f aca="false">J293*'Cover &amp; Assumptions'!$D$12*E293*'Cover &amp; Assumptions'!$E$12*C293</f>
        <v>2030.10035655264</v>
      </c>
      <c r="M293" s="25" t="n">
        <f aca="false">J293*'Cover &amp; Assumptions'!$D$13*E293*'Cover &amp; Assumptions'!$E$13*C293</f>
        <v>3532.3746204016</v>
      </c>
      <c r="N293" s="25" t="n">
        <f aca="false">K293*'Cover &amp; Assumptions'!$C$11+L293*'Cover &amp; Assumptions'!$C$12+M293*'Cover &amp; Assumptions'!$C$13</f>
        <v>2327.51005878761</v>
      </c>
    </row>
    <row r="294" customFormat="false" ht="15" hidden="false" customHeight="false" outlineLevel="0" collapsed="false">
      <c r="A294" s="17" t="str">
        <f aca="false">Portfolio!A294</f>
        <v>UKSME-107734</v>
      </c>
      <c r="B294" s="17" t="str">
        <f aca="false">Portfolio!B294</f>
        <v>Retail</v>
      </c>
      <c r="C294" s="21" t="n">
        <f aca="false">Portfolio!D294</f>
        <v>122148</v>
      </c>
      <c r="D294" s="22" t="n">
        <f aca="false">Portfolio!G294</f>
        <v>0.232654622975029</v>
      </c>
      <c r="E294" s="23" t="n">
        <f aca="false">Portfolio!E294</f>
        <v>0.675</v>
      </c>
      <c r="F294" s="17" t="n">
        <f aca="false">Portfolio!F294</f>
        <v>0</v>
      </c>
      <c r="G294" s="16" t="str">
        <f aca="false">IF(OR(F294&gt;='Cover &amp; Assumptions'!$C$22,Portfolio!I294=1),"Stage 3",IF(OR(F294&gt;=30,D294&gt;'Cover &amp; Assumptions'!$C$21),"Stage 2","Stage 1"))</f>
        <v>Stage 2</v>
      </c>
      <c r="H294" s="16" t="n">
        <f aca="false">IF(G294="Stage 1",12,MIN(Portfolio!H294,60))</f>
        <v>60</v>
      </c>
      <c r="I294" s="24" t="n">
        <f aca="false">1-(1-D294)^(H294/12)</f>
        <v>0.733955426551752</v>
      </c>
      <c r="J294" s="24" t="n">
        <f aca="false">IF(G294="Stage 1",D294,I294)</f>
        <v>0.733955426551752</v>
      </c>
      <c r="K294" s="25" t="n">
        <f aca="false">J294*'Cover &amp; Assumptions'!$D$11*E294*'Cover &amp; Assumptions'!$E$11*C294</f>
        <v>48865.5003553468</v>
      </c>
      <c r="L294" s="25" t="n">
        <f aca="false">J294*'Cover &amp; Assumptions'!$D$12*E294*'Cover &amp; Assumptions'!$E$12*C294</f>
        <v>60514.5515236493</v>
      </c>
      <c r="M294" s="25" t="n">
        <f aca="false">J294*'Cover &amp; Assumptions'!$D$13*E294*'Cover &amp; Assumptions'!$E$13*C294</f>
        <v>105295.31965115</v>
      </c>
      <c r="N294" s="25" t="n">
        <f aca="false">K294*'Cover &amp; Assumptions'!$C$11+L294*'Cover &amp; Assumptions'!$C$12+M294*'Cover &amp; Assumptions'!$C$13</f>
        <v>69379.933321864</v>
      </c>
    </row>
    <row r="295" customFormat="false" ht="15" hidden="false" customHeight="false" outlineLevel="0" collapsed="false">
      <c r="A295" s="17" t="str">
        <f aca="false">Portfolio!A295</f>
        <v>UKSME-100882</v>
      </c>
      <c r="B295" s="17" t="str">
        <f aca="false">Portfolio!B295</f>
        <v>Technology</v>
      </c>
      <c r="C295" s="21" t="n">
        <f aca="false">Portfolio!D295</f>
        <v>211239</v>
      </c>
      <c r="D295" s="22" t="n">
        <f aca="false">Portfolio!G295</f>
        <v>0.455214868491971</v>
      </c>
      <c r="E295" s="23" t="n">
        <f aca="false">Portfolio!E295</f>
        <v>0.332</v>
      </c>
      <c r="F295" s="17" t="n">
        <f aca="false">Portfolio!F295</f>
        <v>0</v>
      </c>
      <c r="G295" s="16" t="str">
        <f aca="false">IF(OR(F295&gt;='Cover &amp; Assumptions'!$C$22,Portfolio!I295=1),"Stage 3",IF(OR(F295&gt;=30,D295&gt;'Cover &amp; Assumptions'!$C$21),"Stage 2","Stage 1"))</f>
        <v>Stage 2</v>
      </c>
      <c r="H295" s="16" t="n">
        <f aca="false">IF(G295="Stage 1",12,MIN(Portfolio!H295,60))</f>
        <v>60</v>
      </c>
      <c r="I295" s="24" t="n">
        <f aca="false">1-(1-D295)^(H295/12)</f>
        <v>0.95201270933065</v>
      </c>
      <c r="J295" s="24" t="n">
        <f aca="false">IF(G295="Stage 1",D295,I295)</f>
        <v>0.95201270933065</v>
      </c>
      <c r="K295" s="25" t="n">
        <f aca="false">J295*'Cover &amp; Assumptions'!$D$11*E295*'Cover &amp; Assumptions'!$E$11*C295</f>
        <v>53913.4922044312</v>
      </c>
      <c r="L295" s="25" t="n">
        <f aca="false">J295*'Cover &amp; Assumptions'!$D$12*E295*'Cover &amp; Assumptions'!$E$12*C295</f>
        <v>66765.9346184907</v>
      </c>
      <c r="M295" s="25" t="n">
        <f aca="false">J295*'Cover &amp; Assumptions'!$D$13*E295*'Cover &amp; Assumptions'!$E$13*C295</f>
        <v>116172.726236174</v>
      </c>
      <c r="N295" s="25" t="n">
        <f aca="false">K295*'Cover &amp; Assumptions'!$C$11+L295*'Cover &amp; Assumptions'!$C$12+M295*'Cover &amp; Assumptions'!$C$13</f>
        <v>76547.1440400996</v>
      </c>
    </row>
    <row r="296" customFormat="false" ht="15" hidden="false" customHeight="false" outlineLevel="0" collapsed="false">
      <c r="A296" s="17" t="str">
        <f aca="false">Portfolio!A296</f>
        <v>UKSME-101860</v>
      </c>
      <c r="B296" s="17" t="str">
        <f aca="false">Portfolio!B296</f>
        <v>Retail</v>
      </c>
      <c r="C296" s="21" t="n">
        <f aca="false">Portfolio!D296</f>
        <v>31313</v>
      </c>
      <c r="D296" s="22" t="n">
        <f aca="false">Portfolio!G296</f>
        <v>0.160667999019171</v>
      </c>
      <c r="E296" s="23" t="n">
        <f aca="false">Portfolio!E296</f>
        <v>0.192</v>
      </c>
      <c r="F296" s="17" t="n">
        <f aca="false">Portfolio!F296</f>
        <v>0</v>
      </c>
      <c r="G296" s="16" t="str">
        <f aca="false">IF(OR(F296&gt;='Cover &amp; Assumptions'!$C$22,Portfolio!I296=1),"Stage 3",IF(OR(F296&gt;=30,D296&gt;'Cover &amp; Assumptions'!$C$21),"Stage 2","Stage 1"))</f>
        <v>Stage 2</v>
      </c>
      <c r="H296" s="16" t="n">
        <f aca="false">IF(G296="Stage 1",12,MIN(Portfolio!H296,60))</f>
        <v>48</v>
      </c>
      <c r="I296" s="24" t="n">
        <f aca="false">1-(1-D296)^(H296/12)</f>
        <v>0.503710454635594</v>
      </c>
      <c r="J296" s="24" t="n">
        <f aca="false">IF(G296="Stage 1",D296,I296)</f>
        <v>0.503710454635594</v>
      </c>
      <c r="K296" s="25" t="n">
        <f aca="false">J296*'Cover &amp; Assumptions'!$D$11*E296*'Cover &amp; Assumptions'!$E$11*C296</f>
        <v>2445.39715464932</v>
      </c>
      <c r="L296" s="25" t="n">
        <f aca="false">J296*'Cover &amp; Assumptions'!$D$12*E296*'Cover &amp; Assumptions'!$E$12*C296</f>
        <v>3028.35560947284</v>
      </c>
      <c r="M296" s="25" t="n">
        <f aca="false">J296*'Cover &amp; Assumptions'!$D$13*E296*'Cover &amp; Assumptions'!$E$13*C296</f>
        <v>5269.33876048274</v>
      </c>
      <c r="N296" s="25" t="n">
        <f aca="false">K296*'Cover &amp; Assumptions'!$C$11+L296*'Cover &amp; Assumptions'!$C$12+M296*'Cover &amp; Assumptions'!$C$13</f>
        <v>3472.00970626061</v>
      </c>
    </row>
    <row r="297" customFormat="false" ht="15" hidden="false" customHeight="false" outlineLevel="0" collapsed="false">
      <c r="A297" s="17" t="str">
        <f aca="false">Portfolio!A297</f>
        <v>UKSME-102208</v>
      </c>
      <c r="B297" s="17" t="str">
        <f aca="false">Portfolio!B297</f>
        <v>Retail</v>
      </c>
      <c r="C297" s="21" t="n">
        <f aca="false">Portfolio!D297</f>
        <v>55321</v>
      </c>
      <c r="D297" s="22" t="n">
        <f aca="false">Portfolio!G297</f>
        <v>0.265623823790683</v>
      </c>
      <c r="E297" s="23" t="n">
        <f aca="false">Portfolio!E297</f>
        <v>0.614</v>
      </c>
      <c r="F297" s="17" t="n">
        <f aca="false">Portfolio!F297</f>
        <v>0</v>
      </c>
      <c r="G297" s="16" t="str">
        <f aca="false">IF(OR(F297&gt;='Cover &amp; Assumptions'!$C$22,Portfolio!I297=1),"Stage 3",IF(OR(F297&gt;=30,D297&gt;'Cover &amp; Assumptions'!$C$21),"Stage 2","Stage 1"))</f>
        <v>Stage 2</v>
      </c>
      <c r="H297" s="16" t="n">
        <f aca="false">IF(G297="Stage 1",12,MIN(Portfolio!H297,60))</f>
        <v>60</v>
      </c>
      <c r="I297" s="24" t="n">
        <f aca="false">1-(1-D297)^(H297/12)</f>
        <v>0.786404107087957</v>
      </c>
      <c r="J297" s="24" t="n">
        <f aca="false">IF(G297="Stage 1",D297,I297)</f>
        <v>0.786404107087957</v>
      </c>
      <c r="K297" s="25" t="n">
        <f aca="false">J297*'Cover &amp; Assumptions'!$D$11*E297*'Cover &amp; Assumptions'!$E$11*C297</f>
        <v>21569.82874866</v>
      </c>
      <c r="L297" s="25" t="n">
        <f aca="false">J297*'Cover &amp; Assumptions'!$D$12*E297*'Cover &amp; Assumptions'!$E$12*C297</f>
        <v>26711.8622274427</v>
      </c>
      <c r="M297" s="25" t="n">
        <f aca="false">J297*'Cover &amp; Assumptions'!$D$13*E297*'Cover &amp; Assumptions'!$E$13*C297</f>
        <v>46478.6402757503</v>
      </c>
      <c r="N297" s="25" t="n">
        <f aca="false">K297*'Cover &amp; Assumptions'!$C$11+L297*'Cover &amp; Assumptions'!$C$12+M297*'Cover &amp; Assumptions'!$C$13</f>
        <v>30625.150043763</v>
      </c>
    </row>
    <row r="298" customFormat="false" ht="15" hidden="false" customHeight="false" outlineLevel="0" collapsed="false">
      <c r="A298" s="17" t="str">
        <f aca="false">Portfolio!A298</f>
        <v>UKSME-108594</v>
      </c>
      <c r="B298" s="17" t="str">
        <f aca="false">Portfolio!B298</f>
        <v>Manufacturing</v>
      </c>
      <c r="C298" s="21" t="n">
        <f aca="false">Portfolio!D298</f>
        <v>23075</v>
      </c>
      <c r="D298" s="22" t="n">
        <f aca="false">Portfolio!G298</f>
        <v>0.122332936369393</v>
      </c>
      <c r="E298" s="23" t="n">
        <f aca="false">Portfolio!E298</f>
        <v>0.475</v>
      </c>
      <c r="F298" s="17" t="n">
        <f aca="false">Portfolio!F298</f>
        <v>0</v>
      </c>
      <c r="G298" s="16" t="str">
        <f aca="false">IF(OR(F298&gt;='Cover &amp; Assumptions'!$C$22,Portfolio!I298=1),"Stage 3",IF(OR(F298&gt;=30,D298&gt;'Cover &amp; Assumptions'!$C$21),"Stage 2","Stage 1"))</f>
        <v>Stage 1</v>
      </c>
      <c r="H298" s="16" t="n">
        <f aca="false">IF(G298="Stage 1",12,MIN(Portfolio!H298,60))</f>
        <v>12</v>
      </c>
      <c r="I298" s="24" t="n">
        <f aca="false">1-(1-D298)^(H298/12)</f>
        <v>0.122332936369393</v>
      </c>
      <c r="J298" s="24" t="n">
        <f aca="false">IF(G298="Stage 1",D298,I298)</f>
        <v>0.122332936369393</v>
      </c>
      <c r="K298" s="25" t="n">
        <f aca="false">J298*'Cover &amp; Assumptions'!$D$11*E298*'Cover &amp; Assumptions'!$E$11*C298</f>
        <v>1082.73269336022</v>
      </c>
      <c r="L298" s="25" t="n">
        <f aca="false">J298*'Cover &amp; Assumptions'!$D$12*E298*'Cover &amp; Assumptions'!$E$12*C298</f>
        <v>1340.84544069377</v>
      </c>
      <c r="M298" s="25" t="n">
        <f aca="false">J298*'Cover &amp; Assumptions'!$D$13*E298*'Cover &amp; Assumptions'!$E$13*C298</f>
        <v>2333.07106680717</v>
      </c>
      <c r="N298" s="25" t="n">
        <f aca="false">K298*'Cover &amp; Assumptions'!$C$11+L298*'Cover &amp; Assumptions'!$C$12+M298*'Cover &amp; Assumptions'!$C$13</f>
        <v>1537.27929775541</v>
      </c>
    </row>
    <row r="299" customFormat="false" ht="15" hidden="false" customHeight="false" outlineLevel="0" collapsed="false">
      <c r="A299" s="17" t="str">
        <f aca="false">Portfolio!A299</f>
        <v>UKSME-100067</v>
      </c>
      <c r="B299" s="17" t="str">
        <f aca="false">Portfolio!B299</f>
        <v>Technology</v>
      </c>
      <c r="C299" s="21" t="n">
        <f aca="false">Portfolio!D299</f>
        <v>59999</v>
      </c>
      <c r="D299" s="22" t="n">
        <f aca="false">Portfolio!G299</f>
        <v>0.001</v>
      </c>
      <c r="E299" s="23" t="n">
        <f aca="false">Portfolio!E299</f>
        <v>0.439</v>
      </c>
      <c r="F299" s="17" t="n">
        <f aca="false">Portfolio!F299</f>
        <v>0</v>
      </c>
      <c r="G299" s="16" t="str">
        <f aca="false">IF(OR(F299&gt;='Cover &amp; Assumptions'!$C$22,Portfolio!I299=1),"Stage 3",IF(OR(F299&gt;=30,D299&gt;'Cover &amp; Assumptions'!$C$21),"Stage 2","Stage 1"))</f>
        <v>Stage 1</v>
      </c>
      <c r="H299" s="16" t="n">
        <f aca="false">IF(G299="Stage 1",12,MIN(Portfolio!H299,60))</f>
        <v>12</v>
      </c>
      <c r="I299" s="24" t="n">
        <f aca="false">1-(1-D299)^(H299/12)</f>
        <v>0.001</v>
      </c>
      <c r="J299" s="24" t="n">
        <f aca="false">IF(G299="Stage 1",D299,I299)</f>
        <v>0.001</v>
      </c>
      <c r="K299" s="25" t="n">
        <f aca="false">J299*'Cover &amp; Assumptions'!$D$11*E299*'Cover &amp; Assumptions'!$E$11*C299</f>
        <v>21.2691955075</v>
      </c>
      <c r="L299" s="25" t="n">
        <f aca="false">J299*'Cover &amp; Assumptions'!$D$12*E299*'Cover &amp; Assumptions'!$E$12*C299</f>
        <v>26.339561</v>
      </c>
      <c r="M299" s="25" t="n">
        <f aca="false">J299*'Cover &amp; Assumptions'!$D$13*E299*'Cover &amp; Assumptions'!$E$13*C299</f>
        <v>45.83083614</v>
      </c>
      <c r="N299" s="25" t="n">
        <f aca="false">K299*'Cover &amp; Assumptions'!$C$11+L299*'Cover &amp; Assumptions'!$C$12+M299*'Cover &amp; Assumptions'!$C$13</f>
        <v>30.1983066865</v>
      </c>
    </row>
    <row r="300" customFormat="false" ht="15" hidden="false" customHeight="false" outlineLevel="0" collapsed="false">
      <c r="A300" s="17" t="str">
        <f aca="false">Portfolio!A300</f>
        <v>UKSME-106873</v>
      </c>
      <c r="B300" s="17" t="str">
        <f aca="false">Portfolio!B300</f>
        <v>Professional Services</v>
      </c>
      <c r="C300" s="21" t="n">
        <f aca="false">Portfolio!D300</f>
        <v>22372</v>
      </c>
      <c r="D300" s="22" t="n">
        <f aca="false">Portfolio!G300</f>
        <v>0.38586348411967</v>
      </c>
      <c r="E300" s="23" t="n">
        <f aca="false">Portfolio!E300</f>
        <v>0.253</v>
      </c>
      <c r="F300" s="17" t="n">
        <f aca="false">Portfolio!F300</f>
        <v>0</v>
      </c>
      <c r="G300" s="16" t="str">
        <f aca="false">IF(OR(F300&gt;='Cover &amp; Assumptions'!$C$22,Portfolio!I300=1),"Stage 3",IF(OR(F300&gt;=30,D300&gt;'Cover &amp; Assumptions'!$C$21),"Stage 2","Stage 1"))</f>
        <v>Stage 3</v>
      </c>
      <c r="H300" s="16" t="n">
        <f aca="false">IF(G300="Stage 1",12,MIN(Portfolio!H300,60))</f>
        <v>48</v>
      </c>
      <c r="I300" s="24" t="n">
        <f aca="false">1-(1-D300)^(H300/12)</f>
        <v>0.857747573471585</v>
      </c>
      <c r="J300" s="24" t="n">
        <f aca="false">IF(G300="Stage 1",D300,I300)</f>
        <v>0.857747573471585</v>
      </c>
      <c r="K300" s="25" t="n">
        <f aca="false">J300*'Cover &amp; Assumptions'!$D$11*E300*'Cover &amp; Assumptions'!$E$11*C300</f>
        <v>3920.37274238841</v>
      </c>
      <c r="L300" s="25" t="n">
        <f aca="false">J300*'Cover &amp; Assumptions'!$D$12*E300*'Cover &amp; Assumptions'!$E$12*C300</f>
        <v>4854.9507645677</v>
      </c>
      <c r="M300" s="25" t="n">
        <f aca="false">J300*'Cover &amp; Assumptions'!$D$13*E300*'Cover &amp; Assumptions'!$E$13*C300</f>
        <v>8447.61433034779</v>
      </c>
      <c r="N300" s="25" t="n">
        <f aca="false">K300*'Cover &amp; Assumptions'!$C$11+L300*'Cover &amp; Assumptions'!$C$12+M300*'Cover &amp; Assumptions'!$C$13</f>
        <v>5566.20105157686</v>
      </c>
    </row>
    <row r="301" customFormat="false" ht="15" hidden="false" customHeight="false" outlineLevel="0" collapsed="false">
      <c r="A301" s="17" t="str">
        <f aca="false">Portfolio!A301</f>
        <v>UKSME-102360</v>
      </c>
      <c r="B301" s="17" t="str">
        <f aca="false">Portfolio!B301</f>
        <v>Hospitality</v>
      </c>
      <c r="C301" s="21" t="n">
        <f aca="false">Portfolio!D301</f>
        <v>53234</v>
      </c>
      <c r="D301" s="22" t="n">
        <f aca="false">Portfolio!G301</f>
        <v>0.315278952834265</v>
      </c>
      <c r="E301" s="23" t="n">
        <f aca="false">Portfolio!E301</f>
        <v>0.575</v>
      </c>
      <c r="F301" s="17" t="n">
        <f aca="false">Portfolio!F301</f>
        <v>0</v>
      </c>
      <c r="G301" s="16" t="str">
        <f aca="false">IF(OR(F301&gt;='Cover &amp; Assumptions'!$C$22,Portfolio!I301=1),"Stage 3",IF(OR(F301&gt;=30,D301&gt;'Cover &amp; Assumptions'!$C$21),"Stage 2","Stage 1"))</f>
        <v>Stage 3</v>
      </c>
      <c r="H301" s="16" t="n">
        <f aca="false">IF(G301="Stage 1",12,MIN(Portfolio!H301,60))</f>
        <v>60</v>
      </c>
      <c r="I301" s="24" t="n">
        <f aca="false">1-(1-D301)^(H301/12)</f>
        <v>0.849488949219909</v>
      </c>
      <c r="J301" s="24" t="n">
        <f aca="false">IF(G301="Stage 1",D301,I301)</f>
        <v>0.849488949219909</v>
      </c>
      <c r="K301" s="25" t="n">
        <f aca="false">J301*'Cover &amp; Assumptions'!$D$11*E301*'Cover &amp; Assumptions'!$E$11*C301</f>
        <v>20996.9981309674</v>
      </c>
      <c r="L301" s="25" t="n">
        <f aca="false">J301*'Cover &amp; Assumptions'!$D$12*E301*'Cover &amp; Assumptions'!$E$12*C301</f>
        <v>26002.4744655943</v>
      </c>
      <c r="M301" s="25" t="n">
        <f aca="false">J301*'Cover &amp; Assumptions'!$D$13*E301*'Cover &amp; Assumptions'!$E$13*C301</f>
        <v>45244.305570134</v>
      </c>
      <c r="N301" s="25" t="n">
        <f aca="false">K301*'Cover &amp; Assumptions'!$C$11+L301*'Cover &amp; Assumptions'!$C$12+M301*'Cover &amp; Assumptions'!$C$13</f>
        <v>29811.8369748038</v>
      </c>
    </row>
    <row r="302" customFormat="false" ht="15" hidden="false" customHeight="false" outlineLevel="0" collapsed="false">
      <c r="A302" s="17" t="str">
        <f aca="false">Portfolio!A302</f>
        <v>UKSME-100732</v>
      </c>
      <c r="B302" s="17" t="str">
        <f aca="false">Portfolio!B302</f>
        <v>Real Estate</v>
      </c>
      <c r="C302" s="21" t="n">
        <f aca="false">Portfolio!D302</f>
        <v>59540</v>
      </c>
      <c r="D302" s="22" t="n">
        <f aca="false">Portfolio!G302</f>
        <v>0.106362448791887</v>
      </c>
      <c r="E302" s="23" t="n">
        <f aca="false">Portfolio!E302</f>
        <v>0.372</v>
      </c>
      <c r="F302" s="17" t="n">
        <f aca="false">Portfolio!F302</f>
        <v>0</v>
      </c>
      <c r="G302" s="16" t="str">
        <f aca="false">IF(OR(F302&gt;='Cover &amp; Assumptions'!$C$22,Portfolio!I302=1),"Stage 3",IF(OR(F302&gt;=30,D302&gt;'Cover &amp; Assumptions'!$C$21),"Stage 2","Stage 1"))</f>
        <v>Stage 1</v>
      </c>
      <c r="H302" s="16" t="n">
        <f aca="false">IF(G302="Stage 1",12,MIN(Portfolio!H302,60))</f>
        <v>12</v>
      </c>
      <c r="I302" s="24" t="n">
        <f aca="false">1-(1-D302)^(H302/12)</f>
        <v>0.106362448791887</v>
      </c>
      <c r="J302" s="24" t="n">
        <f aca="false">IF(G302="Stage 1",D302,I302)</f>
        <v>0.106362448791887</v>
      </c>
      <c r="K302" s="25" t="n">
        <f aca="false">J302*'Cover &amp; Assumptions'!$D$11*E302*'Cover &amp; Assumptions'!$E$11*C302</f>
        <v>1902.3158601991</v>
      </c>
      <c r="L302" s="25" t="n">
        <f aca="false">J302*'Cover &amp; Assumptions'!$D$12*E302*'Cover &amp; Assumptions'!$E$12*C302</f>
        <v>2355.80911479765</v>
      </c>
      <c r="M302" s="25" t="n">
        <f aca="false">J302*'Cover &amp; Assumptions'!$D$13*E302*'Cover &amp; Assumptions'!$E$13*C302</f>
        <v>4099.10785974791</v>
      </c>
      <c r="N302" s="25" t="n">
        <f aca="false">K302*'Cover &amp; Assumptions'!$C$11+L302*'Cover &amp; Assumptions'!$C$12+M302*'Cover &amp; Assumptions'!$C$13</f>
        <v>2700.9351501155</v>
      </c>
    </row>
    <row r="303" customFormat="false" ht="15" hidden="false" customHeight="false" outlineLevel="0" collapsed="false">
      <c r="A303" s="17" t="str">
        <f aca="false">Portfolio!A303</f>
        <v>UKSME-109632</v>
      </c>
      <c r="B303" s="17" t="str">
        <f aca="false">Portfolio!B303</f>
        <v>Manufacturing</v>
      </c>
      <c r="C303" s="21" t="n">
        <f aca="false">Portfolio!D303</f>
        <v>28108</v>
      </c>
      <c r="D303" s="22" t="n">
        <f aca="false">Portfolio!G303</f>
        <v>0.175250414081156</v>
      </c>
      <c r="E303" s="23" t="n">
        <f aca="false">Portfolio!E303</f>
        <v>0.714</v>
      </c>
      <c r="F303" s="17" t="n">
        <f aca="false">Portfolio!F303</f>
        <v>0</v>
      </c>
      <c r="G303" s="16" t="str">
        <f aca="false">IF(OR(F303&gt;='Cover &amp; Assumptions'!$C$22,Portfolio!I303=1),"Stage 3",IF(OR(F303&gt;=30,D303&gt;'Cover &amp; Assumptions'!$C$21),"Stage 2","Stage 1"))</f>
        <v>Stage 2</v>
      </c>
      <c r="H303" s="16" t="n">
        <f aca="false">IF(G303="Stage 1",12,MIN(Portfolio!H303,60))</f>
        <v>48</v>
      </c>
      <c r="I303" s="24" t="n">
        <f aca="false">1-(1-D303)^(H303/12)</f>
        <v>0.537311799023394</v>
      </c>
      <c r="J303" s="24" t="n">
        <f aca="false">IF(G303="Stage 1",D303,I303)</f>
        <v>0.537311799023394</v>
      </c>
      <c r="K303" s="25" t="n">
        <f aca="false">J303*'Cover &amp; Assumptions'!$D$11*E303*'Cover &amp; Assumptions'!$E$11*C303</f>
        <v>8707.57181886901</v>
      </c>
      <c r="L303" s="25" t="n">
        <f aca="false">J303*'Cover &amp; Assumptions'!$D$12*E303*'Cover &amp; Assumptions'!$E$12*C303</f>
        <v>10783.370673522</v>
      </c>
      <c r="M303" s="25" t="n">
        <f aca="false">J303*'Cover &amp; Assumptions'!$D$13*E303*'Cover &amp; Assumptions'!$E$13*C303</f>
        <v>18763.0649719283</v>
      </c>
      <c r="N303" s="25" t="n">
        <f aca="false">K303*'Cover &amp; Assumptions'!$C$11+L303*'Cover &amp; Assumptions'!$C$12+M303*'Cover &amp; Assumptions'!$C$13</f>
        <v>12363.134477193</v>
      </c>
    </row>
    <row r="304" customFormat="false" ht="15" hidden="false" customHeight="false" outlineLevel="0" collapsed="false">
      <c r="A304" s="17" t="str">
        <f aca="false">Portfolio!A304</f>
        <v>UKSME-107778</v>
      </c>
      <c r="B304" s="17" t="str">
        <f aca="false">Portfolio!B304</f>
        <v>Wholesale</v>
      </c>
      <c r="C304" s="21" t="n">
        <f aca="false">Portfolio!D304</f>
        <v>28098</v>
      </c>
      <c r="D304" s="22" t="n">
        <f aca="false">Portfolio!G304</f>
        <v>0.0019777874443086</v>
      </c>
      <c r="E304" s="23" t="n">
        <f aca="false">Portfolio!E304</f>
        <v>0.231</v>
      </c>
      <c r="F304" s="17" t="n">
        <f aca="false">Portfolio!F304</f>
        <v>0</v>
      </c>
      <c r="G304" s="16" t="str">
        <f aca="false">IF(OR(F304&gt;='Cover &amp; Assumptions'!$C$22,Portfolio!I304=1),"Stage 3",IF(OR(F304&gt;=30,D304&gt;'Cover &amp; Assumptions'!$C$21),"Stage 2","Stage 1"))</f>
        <v>Stage 1</v>
      </c>
      <c r="H304" s="16" t="n">
        <f aca="false">IF(G304="Stage 1",12,MIN(Portfolio!H304,60))</f>
        <v>12</v>
      </c>
      <c r="I304" s="24" t="n">
        <f aca="false">1-(1-D304)^(H304/12)</f>
        <v>0.00197778744430865</v>
      </c>
      <c r="J304" s="24" t="n">
        <f aca="false">IF(G304="Stage 1",D304,I304)</f>
        <v>0.0019777874443086</v>
      </c>
      <c r="K304" s="25" t="n">
        <f aca="false">J304*'Cover &amp; Assumptions'!$D$11*E304*'Cover &amp; Assumptions'!$E$11*C304</f>
        <v>10.3659601411265</v>
      </c>
      <c r="L304" s="25" t="n">
        <f aca="false">J304*'Cover &amp; Assumptions'!$D$12*E304*'Cover &amp; Assumptions'!$E$12*C304</f>
        <v>12.8371023419523</v>
      </c>
      <c r="M304" s="25" t="n">
        <f aca="false">J304*'Cover &amp; Assumptions'!$D$13*E304*'Cover &amp; Assumptions'!$E$13*C304</f>
        <v>22.336558074997</v>
      </c>
      <c r="N304" s="25" t="n">
        <f aca="false">K304*'Cover &amp; Assumptions'!$C$11+L304*'Cover &amp; Assumptions'!$C$12+M304*'Cover &amp; Assumptions'!$C$13</f>
        <v>14.7177378350483</v>
      </c>
    </row>
    <row r="305" customFormat="false" ht="15" hidden="false" customHeight="false" outlineLevel="0" collapsed="false">
      <c r="A305" s="17" t="str">
        <f aca="false">Portfolio!A305</f>
        <v>UKSME-105928</v>
      </c>
      <c r="B305" s="17" t="str">
        <f aca="false">Portfolio!B305</f>
        <v>Retail</v>
      </c>
      <c r="C305" s="21" t="n">
        <f aca="false">Portfolio!D305</f>
        <v>21942</v>
      </c>
      <c r="D305" s="22" t="n">
        <f aca="false">Portfolio!G305</f>
        <v>0.216916981941038</v>
      </c>
      <c r="E305" s="23" t="n">
        <f aca="false">Portfolio!E305</f>
        <v>0.224</v>
      </c>
      <c r="F305" s="17" t="n">
        <f aca="false">Portfolio!F305</f>
        <v>0</v>
      </c>
      <c r="G305" s="16" t="str">
        <f aca="false">IF(OR(F305&gt;='Cover &amp; Assumptions'!$C$22,Portfolio!I305=1),"Stage 3",IF(OR(F305&gt;=30,D305&gt;'Cover &amp; Assumptions'!$C$21),"Stage 2","Stage 1"))</f>
        <v>Stage 2</v>
      </c>
      <c r="H305" s="16" t="n">
        <f aca="false">IF(G305="Stage 1",12,MIN(Portfolio!H305,60))</f>
        <v>60</v>
      </c>
      <c r="I305" s="24" t="n">
        <f aca="false">1-(1-D305)^(H305/12)</f>
        <v>0.705531374086962</v>
      </c>
      <c r="J305" s="24" t="n">
        <f aca="false">IF(G305="Stage 1",D305,I305)</f>
        <v>0.705531374086962</v>
      </c>
      <c r="K305" s="25" t="n">
        <f aca="false">J305*'Cover &amp; Assumptions'!$D$11*E305*'Cover &amp; Assumptions'!$E$11*C305</f>
        <v>2800.16157091989</v>
      </c>
      <c r="L305" s="25" t="n">
        <f aca="false">J305*'Cover &amp; Assumptions'!$D$12*E305*'Cover &amp; Assumptions'!$E$12*C305</f>
        <v>3467.69234788841</v>
      </c>
      <c r="M305" s="25" t="n">
        <f aca="false">J305*'Cover &amp; Assumptions'!$D$13*E305*'Cover &amp; Assumptions'!$E$13*C305</f>
        <v>6033.78468532583</v>
      </c>
      <c r="N305" s="25" t="n">
        <f aca="false">K305*'Cover &amp; Assumptions'!$C$11+L305*'Cover &amp; Assumptions'!$C$12+M305*'Cover &amp; Assumptions'!$C$13</f>
        <v>3975.70927685406</v>
      </c>
    </row>
    <row r="306" customFormat="false" ht="15" hidden="false" customHeight="false" outlineLevel="0" collapsed="false">
      <c r="A306" s="17" t="str">
        <f aca="false">Portfolio!A306</f>
        <v>UKSME-100920</v>
      </c>
      <c r="B306" s="17" t="str">
        <f aca="false">Portfolio!B306</f>
        <v>Transport</v>
      </c>
      <c r="C306" s="21" t="n">
        <f aca="false">Portfolio!D306</f>
        <v>207556</v>
      </c>
      <c r="D306" s="22" t="n">
        <f aca="false">Portfolio!G306</f>
        <v>0.227306534178664</v>
      </c>
      <c r="E306" s="23" t="n">
        <f aca="false">Portfolio!E306</f>
        <v>0.76</v>
      </c>
      <c r="F306" s="17" t="n">
        <f aca="false">Portfolio!F306</f>
        <v>0</v>
      </c>
      <c r="G306" s="16" t="str">
        <f aca="false">IF(OR(F306&gt;='Cover &amp; Assumptions'!$C$22,Portfolio!I306=1),"Stage 3",IF(OR(F306&gt;=30,D306&gt;'Cover &amp; Assumptions'!$C$21),"Stage 2","Stage 1"))</f>
        <v>Stage 3</v>
      </c>
      <c r="H306" s="16" t="n">
        <f aca="false">IF(G306="Stage 1",12,MIN(Portfolio!H306,60))</f>
        <v>48</v>
      </c>
      <c r="I306" s="24" t="n">
        <f aca="false">1-(1-D306)^(H306/12)</f>
        <v>0.643525097558982</v>
      </c>
      <c r="J306" s="24" t="n">
        <f aca="false">IF(G306="Stage 1",D306,I306)</f>
        <v>0.643525097558982</v>
      </c>
      <c r="K306" s="25" t="n">
        <f aca="false">J306*'Cover &amp; Assumptions'!$D$11*E306*'Cover &amp; Assumptions'!$E$11*C306</f>
        <v>81970.3717729118</v>
      </c>
      <c r="L306" s="25" t="n">
        <f aca="false">J306*'Cover &amp; Assumptions'!$D$12*E306*'Cover &amp; Assumptions'!$E$12*C306</f>
        <v>101511.296313204</v>
      </c>
      <c r="M306" s="25" t="n">
        <f aca="false">J306*'Cover &amp; Assumptions'!$D$13*E306*'Cover &amp; Assumptions'!$E$13*C306</f>
        <v>176629.655584974</v>
      </c>
      <c r="N306" s="25" t="n">
        <f aca="false">K306*'Cover &amp; Assumptions'!$C$11+L306*'Cover &amp; Assumptions'!$C$12+M306*'Cover &amp; Assumptions'!$C$13</f>
        <v>116382.701223088</v>
      </c>
    </row>
    <row r="307" customFormat="false" ht="15" hidden="false" customHeight="false" outlineLevel="0" collapsed="false">
      <c r="A307" s="17" t="str">
        <f aca="false">Portfolio!A307</f>
        <v>UKSME-107434</v>
      </c>
      <c r="B307" s="17" t="str">
        <f aca="false">Portfolio!B307</f>
        <v>Wholesale</v>
      </c>
      <c r="C307" s="21" t="n">
        <f aca="false">Portfolio!D307</f>
        <v>15008</v>
      </c>
      <c r="D307" s="22" t="n">
        <f aca="false">Portfolio!G307</f>
        <v>0.0888798656596207</v>
      </c>
      <c r="E307" s="23" t="n">
        <f aca="false">Portfolio!E307</f>
        <v>0.266</v>
      </c>
      <c r="F307" s="17" t="n">
        <f aca="false">Portfolio!F307</f>
        <v>0</v>
      </c>
      <c r="G307" s="16" t="str">
        <f aca="false">IF(OR(F307&gt;='Cover &amp; Assumptions'!$C$22,Portfolio!I307=1),"Stage 3",IF(OR(F307&gt;=30,D307&gt;'Cover &amp; Assumptions'!$C$21),"Stage 2","Stage 1"))</f>
        <v>Stage 1</v>
      </c>
      <c r="H307" s="16" t="n">
        <f aca="false">IF(G307="Stage 1",12,MIN(Portfolio!H307,60))</f>
        <v>12</v>
      </c>
      <c r="I307" s="24" t="n">
        <f aca="false">1-(1-D307)^(H307/12)</f>
        <v>0.0888798656596207</v>
      </c>
      <c r="J307" s="24" t="n">
        <f aca="false">IF(G307="Stage 1",D307,I307)</f>
        <v>0.0888798656596207</v>
      </c>
      <c r="K307" s="25" t="n">
        <f aca="false">J307*'Cover &amp; Assumptions'!$D$11*E307*'Cover &amp; Assumptions'!$E$11*C307</f>
        <v>286.516988771328</v>
      </c>
      <c r="L307" s="25" t="n">
        <f aca="false">J307*'Cover &amp; Assumptions'!$D$12*E307*'Cover &amp; Assumptions'!$E$12*C307</f>
        <v>354.81980033601</v>
      </c>
      <c r="M307" s="25" t="n">
        <f aca="false">J307*'Cover &amp; Assumptions'!$D$13*E307*'Cover &amp; Assumptions'!$E$13*C307</f>
        <v>617.386452584658</v>
      </c>
      <c r="N307" s="25" t="n">
        <f aca="false">K307*'Cover &amp; Assumptions'!$C$11+L307*'Cover &amp; Assumptions'!$C$12+M307*'Cover &amp; Assumptions'!$C$13</f>
        <v>406.800901085236</v>
      </c>
    </row>
    <row r="308" customFormat="false" ht="15" hidden="false" customHeight="false" outlineLevel="0" collapsed="false">
      <c r="A308" s="17" t="str">
        <f aca="false">Portfolio!A308</f>
        <v>UKSME-108795</v>
      </c>
      <c r="B308" s="17" t="str">
        <f aca="false">Portfolio!B308</f>
        <v>Manufacturing</v>
      </c>
      <c r="C308" s="21" t="n">
        <f aca="false">Portfolio!D308</f>
        <v>118192</v>
      </c>
      <c r="D308" s="22" t="n">
        <f aca="false">Portfolio!G308</f>
        <v>0.297498682965959</v>
      </c>
      <c r="E308" s="23" t="n">
        <f aca="false">Portfolio!E308</f>
        <v>0.751</v>
      </c>
      <c r="F308" s="17" t="n">
        <f aca="false">Portfolio!F308</f>
        <v>35</v>
      </c>
      <c r="G308" s="16" t="str">
        <f aca="false">IF(OR(F308&gt;='Cover &amp; Assumptions'!$C$22,Portfolio!I308=1),"Stage 3",IF(OR(F308&gt;=30,D308&gt;'Cover &amp; Assumptions'!$C$21),"Stage 2","Stage 1"))</f>
        <v>Stage 2</v>
      </c>
      <c r="H308" s="16" t="n">
        <f aca="false">IF(G308="Stage 1",12,MIN(Portfolio!H308,60))</f>
        <v>12</v>
      </c>
      <c r="I308" s="24" t="n">
        <f aca="false">1-(1-D308)^(H308/12)</f>
        <v>0.297498682965959</v>
      </c>
      <c r="J308" s="24" t="n">
        <f aca="false">IF(G308="Stage 1",D308,I308)</f>
        <v>0.297498682965959</v>
      </c>
      <c r="K308" s="25" t="n">
        <f aca="false">J308*'Cover &amp; Assumptions'!$D$11*E308*'Cover &amp; Assumptions'!$E$11*C308</f>
        <v>21323.357937866</v>
      </c>
      <c r="L308" s="25" t="n">
        <f aca="false">J308*'Cover &amp; Assumptions'!$D$12*E308*'Cover &amp; Assumptions'!$E$12*C308</f>
        <v>26406.6352171715</v>
      </c>
      <c r="M308" s="25" t="n">
        <f aca="false">J308*'Cover &amp; Assumptions'!$D$13*E308*'Cover &amp; Assumptions'!$E$13*C308</f>
        <v>45947.5452778785</v>
      </c>
      <c r="N308" s="25" t="n">
        <f aca="false">K308*'Cover &amp; Assumptions'!$C$11+L308*'Cover &amp; Assumptions'!$C$12+M308*'Cover &amp; Assumptions'!$C$13</f>
        <v>30275.2072764872</v>
      </c>
    </row>
    <row r="309" customFormat="false" ht="15" hidden="false" customHeight="false" outlineLevel="0" collapsed="false">
      <c r="A309" s="17" t="str">
        <f aca="false">Portfolio!A309</f>
        <v>UKSME-101526</v>
      </c>
      <c r="B309" s="17" t="str">
        <f aca="false">Portfolio!B309</f>
        <v>Transport</v>
      </c>
      <c r="C309" s="21" t="n">
        <f aca="false">Portfolio!D309</f>
        <v>36107</v>
      </c>
      <c r="D309" s="22" t="n">
        <f aca="false">Portfolio!G309</f>
        <v>0.273758210388737</v>
      </c>
      <c r="E309" s="23" t="n">
        <f aca="false">Portfolio!E309</f>
        <v>0.226</v>
      </c>
      <c r="F309" s="17" t="n">
        <f aca="false">Portfolio!F309</f>
        <v>0</v>
      </c>
      <c r="G309" s="16" t="str">
        <f aca="false">IF(OR(F309&gt;='Cover &amp; Assumptions'!$C$22,Portfolio!I309=1),"Stage 3",IF(OR(F309&gt;=30,D309&gt;'Cover &amp; Assumptions'!$C$21),"Stage 2","Stage 1"))</f>
        <v>Stage 3</v>
      </c>
      <c r="H309" s="16" t="n">
        <f aca="false">IF(G309="Stage 1",12,MIN(Portfolio!H309,60))</f>
        <v>60</v>
      </c>
      <c r="I309" s="24" t="n">
        <f aca="false">1-(1-D309)^(H309/12)</f>
        <v>0.797974505734951</v>
      </c>
      <c r="J309" s="24" t="n">
        <f aca="false">IF(G309="Stage 1",D309,I309)</f>
        <v>0.797974505734951</v>
      </c>
      <c r="K309" s="25" t="n">
        <f aca="false">J309*'Cover &amp; Assumptions'!$D$11*E309*'Cover &amp; Assumptions'!$E$11*C309</f>
        <v>5258.13088751197</v>
      </c>
      <c r="L309" s="25" t="n">
        <f aca="false">J309*'Cover &amp; Assumptions'!$D$12*E309*'Cover &amp; Assumptions'!$E$12*C309</f>
        <v>6511.61719815724</v>
      </c>
      <c r="M309" s="25" t="n">
        <f aca="false">J309*'Cover &amp; Assumptions'!$D$13*E309*'Cover &amp; Assumptions'!$E$13*C309</f>
        <v>11330.2139247936</v>
      </c>
      <c r="N309" s="25" t="n">
        <f aca="false">K309*'Cover &amp; Assumptions'!$C$11+L309*'Cover &amp; Assumptions'!$C$12+M309*'Cover &amp; Assumptions'!$C$13</f>
        <v>7465.56911768728</v>
      </c>
    </row>
    <row r="310" customFormat="false" ht="15" hidden="false" customHeight="false" outlineLevel="0" collapsed="false">
      <c r="A310" s="17" t="str">
        <f aca="false">Portfolio!A310</f>
        <v>UKSME-105396</v>
      </c>
      <c r="B310" s="17" t="str">
        <f aca="false">Portfolio!B310</f>
        <v>Real Estate</v>
      </c>
      <c r="C310" s="21" t="n">
        <f aca="false">Portfolio!D310</f>
        <v>49244</v>
      </c>
      <c r="D310" s="22" t="n">
        <f aca="false">Portfolio!G310</f>
        <v>0.151854349512549</v>
      </c>
      <c r="E310" s="23" t="n">
        <f aca="false">Portfolio!E310</f>
        <v>0.623</v>
      </c>
      <c r="F310" s="17" t="n">
        <f aca="false">Portfolio!F310</f>
        <v>0</v>
      </c>
      <c r="G310" s="16" t="str">
        <f aca="false">IF(OR(F310&gt;='Cover &amp; Assumptions'!$C$22,Portfolio!I310=1),"Stage 3",IF(OR(F310&gt;=30,D310&gt;'Cover &amp; Assumptions'!$C$21),"Stage 2","Stage 1"))</f>
        <v>Stage 2</v>
      </c>
      <c r="H310" s="16" t="n">
        <f aca="false">IF(G310="Stage 1",12,MIN(Portfolio!H310,60))</f>
        <v>60</v>
      </c>
      <c r="I310" s="24" t="n">
        <f aca="false">1-(1-D310)^(H310/12)</f>
        <v>0.561113526318705</v>
      </c>
      <c r="J310" s="24" t="n">
        <f aca="false">IF(G310="Stage 1",D310,I310)</f>
        <v>0.561113526318705</v>
      </c>
      <c r="K310" s="25" t="n">
        <f aca="false">J310*'Cover &amp; Assumptions'!$D$11*E310*'Cover &amp; Assumptions'!$E$11*C310</f>
        <v>13900.6349503898</v>
      </c>
      <c r="L310" s="25" t="n">
        <f aca="false">J310*'Cover &amp; Assumptions'!$D$12*E310*'Cover &amp; Assumptions'!$E$12*C310</f>
        <v>17214.4086072939</v>
      </c>
      <c r="M310" s="25" t="n">
        <f aca="false">J310*'Cover &amp; Assumptions'!$D$13*E310*'Cover &amp; Assumptions'!$E$13*C310</f>
        <v>29953.0709766913</v>
      </c>
      <c r="N310" s="25" t="n">
        <f aca="false">K310*'Cover &amp; Assumptions'!$C$11+L310*'Cover &amp; Assumptions'!$C$12+M310*'Cover &amp; Assumptions'!$C$13</f>
        <v>19736.3194682624</v>
      </c>
    </row>
    <row r="311" customFormat="false" ht="15" hidden="false" customHeight="false" outlineLevel="0" collapsed="false">
      <c r="A311" s="17" t="str">
        <f aca="false">Portfolio!A311</f>
        <v>UKSME-100656</v>
      </c>
      <c r="B311" s="17" t="str">
        <f aca="false">Portfolio!B311</f>
        <v>Wholesale</v>
      </c>
      <c r="C311" s="21" t="n">
        <f aca="false">Portfolio!D311</f>
        <v>41466</v>
      </c>
      <c r="D311" s="22" t="n">
        <f aca="false">Portfolio!G311</f>
        <v>0.240169869831282</v>
      </c>
      <c r="E311" s="23" t="n">
        <f aca="false">Portfolio!E311</f>
        <v>0.285</v>
      </c>
      <c r="F311" s="17" t="n">
        <f aca="false">Portfolio!F311</f>
        <v>0</v>
      </c>
      <c r="G311" s="16" t="str">
        <f aca="false">IF(OR(F311&gt;='Cover &amp; Assumptions'!$C$22,Portfolio!I311=1),"Stage 3",IF(OR(F311&gt;=30,D311&gt;'Cover &amp; Assumptions'!$C$21),"Stage 2","Stage 1"))</f>
        <v>Stage 3</v>
      </c>
      <c r="H311" s="16" t="n">
        <f aca="false">IF(G311="Stage 1",12,MIN(Portfolio!H311,60))</f>
        <v>36</v>
      </c>
      <c r="I311" s="24" t="n">
        <f aca="false">1-(1-D311)^(H311/12)</f>
        <v>0.561318284657416</v>
      </c>
      <c r="J311" s="24" t="n">
        <f aca="false">IF(G311="Stage 1",D311,I311)</f>
        <v>0.561318284657416</v>
      </c>
      <c r="K311" s="25" t="n">
        <f aca="false">J311*'Cover &amp; Assumptions'!$D$11*E311*'Cover &amp; Assumptions'!$E$11*C311</f>
        <v>5356.59391636786</v>
      </c>
      <c r="L311" s="25" t="n">
        <f aca="false">J311*'Cover &amp; Assumptions'!$D$12*E311*'Cover &amp; Assumptions'!$E$12*C311</f>
        <v>6633.55283760726</v>
      </c>
      <c r="M311" s="25" t="n">
        <f aca="false">J311*'Cover &amp; Assumptions'!$D$13*E311*'Cover &amp; Assumptions'!$E$13*C311</f>
        <v>11542.3819374366</v>
      </c>
      <c r="N311" s="25" t="n">
        <f aca="false">K311*'Cover &amp; Assumptions'!$C$11+L311*'Cover &amp; Assumptions'!$C$12+M311*'Cover &amp; Assumptions'!$C$13</f>
        <v>7605.36832831672</v>
      </c>
    </row>
    <row r="312" customFormat="false" ht="15" hidden="false" customHeight="false" outlineLevel="0" collapsed="false">
      <c r="A312" s="17" t="str">
        <f aca="false">Portfolio!A312</f>
        <v>UKSME-107901</v>
      </c>
      <c r="B312" s="17" t="str">
        <f aca="false">Portfolio!B312</f>
        <v>Construction</v>
      </c>
      <c r="C312" s="21" t="n">
        <f aca="false">Portfolio!D312</f>
        <v>11836</v>
      </c>
      <c r="D312" s="22" t="n">
        <f aca="false">Portfolio!G312</f>
        <v>0.405053273442141</v>
      </c>
      <c r="E312" s="23" t="n">
        <f aca="false">Portfolio!E312</f>
        <v>0.24</v>
      </c>
      <c r="F312" s="17" t="n">
        <f aca="false">Portfolio!F312</f>
        <v>0</v>
      </c>
      <c r="G312" s="16" t="str">
        <f aca="false">IF(OR(F312&gt;='Cover &amp; Assumptions'!$C$22,Portfolio!I312=1),"Stage 3",IF(OR(F312&gt;=30,D312&gt;'Cover &amp; Assumptions'!$C$21),"Stage 2","Stage 1"))</f>
        <v>Stage 2</v>
      </c>
      <c r="H312" s="16" t="n">
        <f aca="false">IF(G312="Stage 1",12,MIN(Portfolio!H312,60))</f>
        <v>60</v>
      </c>
      <c r="I312" s="24" t="n">
        <f aca="false">1-(1-D312)^(H312/12)</f>
        <v>0.925459826938676</v>
      </c>
      <c r="J312" s="24" t="n">
        <f aca="false">IF(G312="Stage 1",D312,I312)</f>
        <v>0.925459826938676</v>
      </c>
      <c r="K312" s="25" t="n">
        <f aca="false">J312*'Cover &amp; Assumptions'!$D$11*E312*'Cover &amp; Assumptions'!$E$11*C312</f>
        <v>2122.83529875703</v>
      </c>
      <c r="L312" s="25" t="n">
        <f aca="false">J312*'Cover &amp; Assumptions'!$D$12*E312*'Cover &amp; Assumptions'!$E$12*C312</f>
        <v>2628.89820279508</v>
      </c>
      <c r="M312" s="25" t="n">
        <f aca="false">J312*'Cover &amp; Assumptions'!$D$13*E312*'Cover &amp; Assumptions'!$E$13*C312</f>
        <v>4574.28287286344</v>
      </c>
      <c r="N312" s="25" t="n">
        <f aca="false">K312*'Cover &amp; Assumptions'!$C$11+L312*'Cover &amp; Assumptions'!$C$12+M312*'Cover &amp; Assumptions'!$C$13</f>
        <v>3014.03178950456</v>
      </c>
    </row>
    <row r="313" customFormat="false" ht="15" hidden="false" customHeight="false" outlineLevel="0" collapsed="false">
      <c r="A313" s="17" t="str">
        <f aca="false">Portfolio!A313</f>
        <v>UKSME-101110</v>
      </c>
      <c r="B313" s="17" t="str">
        <f aca="false">Portfolio!B313</f>
        <v>Retail</v>
      </c>
      <c r="C313" s="21" t="n">
        <f aca="false">Portfolio!D313</f>
        <v>156063</v>
      </c>
      <c r="D313" s="22" t="n">
        <f aca="false">Portfolio!G313</f>
        <v>0.173356714868593</v>
      </c>
      <c r="E313" s="23" t="n">
        <f aca="false">Portfolio!E313</f>
        <v>0.673</v>
      </c>
      <c r="F313" s="17" t="n">
        <f aca="false">Portfolio!F313</f>
        <v>0</v>
      </c>
      <c r="G313" s="16" t="str">
        <f aca="false">IF(OR(F313&gt;='Cover &amp; Assumptions'!$C$22,Portfolio!I313=1),"Stage 3",IF(OR(F313&gt;=30,D313&gt;'Cover &amp; Assumptions'!$C$21),"Stage 2","Stage 1"))</f>
        <v>Stage 2</v>
      </c>
      <c r="H313" s="16" t="n">
        <f aca="false">IF(G313="Stage 1",12,MIN(Portfolio!H313,60))</f>
        <v>36</v>
      </c>
      <c r="I313" s="24" t="n">
        <f aca="false">1-(1-D313)^(H313/12)</f>
        <v>0.435122304279396</v>
      </c>
      <c r="J313" s="24" t="n">
        <f aca="false">IF(G313="Stage 1",D313,I313)</f>
        <v>0.435122304279396</v>
      </c>
      <c r="K313" s="25" t="n">
        <f aca="false">J313*'Cover &amp; Assumptions'!$D$11*E313*'Cover &amp; Assumptions'!$E$11*C313</f>
        <v>36903.6134050535</v>
      </c>
      <c r="L313" s="25" t="n">
        <f aca="false">J313*'Cover &amp; Assumptions'!$D$12*E313*'Cover &amp; Assumptions'!$E$12*C313</f>
        <v>45701.0692322644</v>
      </c>
      <c r="M313" s="25" t="n">
        <f aca="false">J313*'Cover &amp; Assumptions'!$D$13*E313*'Cover &amp; Assumptions'!$E$13*C313</f>
        <v>79519.86046414</v>
      </c>
      <c r="N313" s="25" t="n">
        <f aca="false">K313*'Cover &amp; Assumptions'!$C$11+L313*'Cover &amp; Assumptions'!$C$12+M313*'Cover &amp; Assumptions'!$C$13</f>
        <v>52396.2758747911</v>
      </c>
    </row>
    <row r="314" customFormat="false" ht="15" hidden="false" customHeight="false" outlineLevel="0" collapsed="false">
      <c r="A314" s="17" t="str">
        <f aca="false">Portfolio!A314</f>
        <v>UKSME-107104</v>
      </c>
      <c r="B314" s="17" t="str">
        <f aca="false">Portfolio!B314</f>
        <v>Healthcare</v>
      </c>
      <c r="C314" s="21" t="n">
        <f aca="false">Portfolio!D314</f>
        <v>50724</v>
      </c>
      <c r="D314" s="22" t="n">
        <f aca="false">Portfolio!G314</f>
        <v>0.244379135440452</v>
      </c>
      <c r="E314" s="23" t="n">
        <f aca="false">Portfolio!E314</f>
        <v>0.617</v>
      </c>
      <c r="F314" s="17" t="n">
        <f aca="false">Portfolio!F314</f>
        <v>0</v>
      </c>
      <c r="G314" s="16" t="str">
        <f aca="false">IF(OR(F314&gt;='Cover &amp; Assumptions'!$C$22,Portfolio!I314=1),"Stage 3",IF(OR(F314&gt;=30,D314&gt;'Cover &amp; Assumptions'!$C$21),"Stage 2","Stage 1"))</f>
        <v>Stage 2</v>
      </c>
      <c r="H314" s="16" t="n">
        <f aca="false">IF(G314="Stage 1",12,MIN(Portfolio!H314,60))</f>
        <v>24</v>
      </c>
      <c r="I314" s="24" t="n">
        <f aca="false">1-(1-D314)^(H314/12)</f>
        <v>0.429037109042281</v>
      </c>
      <c r="J314" s="24" t="n">
        <f aca="false">IF(G314="Stage 1",D314,I314)</f>
        <v>0.429037109042281</v>
      </c>
      <c r="K314" s="25" t="n">
        <f aca="false">J314*'Cover &amp; Assumptions'!$D$11*E314*'Cover &amp; Assumptions'!$E$11*C314</f>
        <v>10842.6651667098</v>
      </c>
      <c r="L314" s="25" t="n">
        <f aca="false">J314*'Cover &amp; Assumptions'!$D$12*E314*'Cover &amp; Assumptions'!$E$12*C314</f>
        <v>13427.4491228604</v>
      </c>
      <c r="M314" s="25" t="n">
        <f aca="false">J314*'Cover &amp; Assumptions'!$D$13*E314*'Cover &amp; Assumptions'!$E$13*C314</f>
        <v>23363.7614737771</v>
      </c>
      <c r="N314" s="25" t="n">
        <f aca="false">K314*'Cover &amp; Assumptions'!$C$11+L314*'Cover &amp; Assumptions'!$C$12+M314*'Cover &amp; Assumptions'!$C$13</f>
        <v>15394.5704193595</v>
      </c>
    </row>
    <row r="315" customFormat="false" ht="15" hidden="false" customHeight="false" outlineLevel="0" collapsed="false">
      <c r="A315" s="17" t="str">
        <f aca="false">Portfolio!A315</f>
        <v>UKSME-108299</v>
      </c>
      <c r="B315" s="17" t="str">
        <f aca="false">Portfolio!B315</f>
        <v>Professional Services</v>
      </c>
      <c r="C315" s="21" t="n">
        <f aca="false">Portfolio!D315</f>
        <v>166053</v>
      </c>
      <c r="D315" s="22" t="n">
        <f aca="false">Portfolio!G315</f>
        <v>0.17907488100363</v>
      </c>
      <c r="E315" s="23" t="n">
        <f aca="false">Portfolio!E315</f>
        <v>0.776</v>
      </c>
      <c r="F315" s="17" t="n">
        <f aca="false">Portfolio!F315</f>
        <v>5</v>
      </c>
      <c r="G315" s="16" t="str">
        <f aca="false">IF(OR(F315&gt;='Cover &amp; Assumptions'!$C$22,Portfolio!I315=1),"Stage 3",IF(OR(F315&gt;=30,D315&gt;'Cover &amp; Assumptions'!$C$21),"Stage 2","Stage 1"))</f>
        <v>Stage 2</v>
      </c>
      <c r="H315" s="16" t="n">
        <f aca="false">IF(G315="Stage 1",12,MIN(Portfolio!H315,60))</f>
        <v>48</v>
      </c>
      <c r="I315" s="24" t="n">
        <f aca="false">1-(1-D315)^(H315/12)</f>
        <v>0.545834460537434</v>
      </c>
      <c r="J315" s="24" t="n">
        <f aca="false">IF(G315="Stage 1",D315,I315)</f>
        <v>0.545834460537434</v>
      </c>
      <c r="K315" s="25" t="n">
        <f aca="false">J315*'Cover &amp; Assumptions'!$D$11*E315*'Cover &amp; Assumptions'!$E$11*C315</f>
        <v>56795.2387157385</v>
      </c>
      <c r="L315" s="25" t="n">
        <f aca="false">J315*'Cover &amp; Assumptions'!$D$12*E315*'Cover &amp; Assumptions'!$E$12*C315</f>
        <v>70334.660948283</v>
      </c>
      <c r="M315" s="25" t="n">
        <f aca="false">J315*'Cover &amp; Assumptions'!$D$13*E315*'Cover &amp; Assumptions'!$E$13*C315</f>
        <v>122382.310050012</v>
      </c>
      <c r="N315" s="25" t="n">
        <f aca="false">K315*'Cover &amp; Assumptions'!$C$11+L315*'Cover &amp; Assumptions'!$C$12+M315*'Cover &amp; Assumptions'!$C$13</f>
        <v>80638.6887772065</v>
      </c>
    </row>
    <row r="316" customFormat="false" ht="15" hidden="false" customHeight="false" outlineLevel="0" collapsed="false">
      <c r="A316" s="17" t="str">
        <f aca="false">Portfolio!A316</f>
        <v>UKSME-102423</v>
      </c>
      <c r="B316" s="17" t="str">
        <f aca="false">Portfolio!B316</f>
        <v>Technology</v>
      </c>
      <c r="C316" s="21" t="n">
        <f aca="false">Portfolio!D316</f>
        <v>169110</v>
      </c>
      <c r="D316" s="22" t="n">
        <f aca="false">Portfolio!G316</f>
        <v>0.193374499143773</v>
      </c>
      <c r="E316" s="23" t="n">
        <f aca="false">Portfolio!E316</f>
        <v>0.05</v>
      </c>
      <c r="F316" s="17" t="n">
        <f aca="false">Portfolio!F316</f>
        <v>0</v>
      </c>
      <c r="G316" s="16" t="str">
        <f aca="false">IF(OR(F316&gt;='Cover &amp; Assumptions'!$C$22,Portfolio!I316=1),"Stage 3",IF(OR(F316&gt;=30,D316&gt;'Cover &amp; Assumptions'!$C$21),"Stage 2","Stage 1"))</f>
        <v>Stage 2</v>
      </c>
      <c r="H316" s="16" t="n">
        <f aca="false">IF(G316="Stage 1",12,MIN(Portfolio!H316,60))</f>
        <v>60</v>
      </c>
      <c r="I316" s="24" t="n">
        <f aca="false">1-(1-D316)^(H316/12)</f>
        <v>0.658524351161826</v>
      </c>
      <c r="J316" s="24" t="n">
        <f aca="false">IF(G316="Stage 1",D316,I316)</f>
        <v>0.658524351161826</v>
      </c>
      <c r="K316" s="25" t="n">
        <f aca="false">J316*'Cover &amp; Assumptions'!$D$11*E316*'Cover &amp; Assumptions'!$E$11*C316</f>
        <v>4496.28326588342</v>
      </c>
      <c r="L316" s="25" t="n">
        <f aca="false">J316*'Cover &amp; Assumptions'!$D$12*E316*'Cover &amp; Assumptions'!$E$12*C316</f>
        <v>5568.15265124882</v>
      </c>
      <c r="M316" s="25" t="n">
        <f aca="false">J316*'Cover &amp; Assumptions'!$D$13*E316*'Cover &amp; Assumptions'!$E$13*C316</f>
        <v>9688.58561317295</v>
      </c>
      <c r="N316" s="25" t="n">
        <f aca="false">K316*'Cover &amp; Assumptions'!$C$11+L316*'Cover &amp; Assumptions'!$C$12+M316*'Cover &amp; Assumptions'!$C$13</f>
        <v>6383.88701465678</v>
      </c>
    </row>
    <row r="317" customFormat="false" ht="15" hidden="false" customHeight="false" outlineLevel="0" collapsed="false">
      <c r="A317" s="17" t="str">
        <f aca="false">Portfolio!A317</f>
        <v>UKSME-100500</v>
      </c>
      <c r="B317" s="17" t="str">
        <f aca="false">Portfolio!B317</f>
        <v>Wholesale</v>
      </c>
      <c r="C317" s="21" t="n">
        <f aca="false">Portfolio!D317</f>
        <v>42445</v>
      </c>
      <c r="D317" s="22" t="n">
        <f aca="false">Portfolio!G317</f>
        <v>0.271906948472409</v>
      </c>
      <c r="E317" s="23" t="n">
        <f aca="false">Portfolio!E317</f>
        <v>0.727</v>
      </c>
      <c r="F317" s="17" t="n">
        <f aca="false">Portfolio!F317</f>
        <v>15</v>
      </c>
      <c r="G317" s="16" t="str">
        <f aca="false">IF(OR(F317&gt;='Cover &amp; Assumptions'!$C$22,Portfolio!I317=1),"Stage 3",IF(OR(F317&gt;=30,D317&gt;'Cover &amp; Assumptions'!$C$21),"Stage 2","Stage 1"))</f>
        <v>Stage 2</v>
      </c>
      <c r="H317" s="16" t="n">
        <f aca="false">IF(G317="Stage 1",12,MIN(Portfolio!H317,60))</f>
        <v>36</v>
      </c>
      <c r="I317" s="24" t="n">
        <f aca="false">1-(1-D317)^(H317/12)</f>
        <v>0.614023681626445</v>
      </c>
      <c r="J317" s="24" t="n">
        <f aca="false">IF(G317="Stage 1",D317,I317)</f>
        <v>0.614023681626445</v>
      </c>
      <c r="K317" s="25" t="n">
        <f aca="false">J317*'Cover &amp; Assumptions'!$D$11*E317*'Cover &amp; Assumptions'!$E$11*C317</f>
        <v>15299.9003101607</v>
      </c>
      <c r="L317" s="25" t="n">
        <f aca="false">J317*'Cover &amp; Assumptions'!$D$12*E317*'Cover &amp; Assumptions'!$E$12*C317</f>
        <v>18947.2449661432</v>
      </c>
      <c r="M317" s="25" t="n">
        <f aca="false">J317*'Cover &amp; Assumptions'!$D$13*E317*'Cover &amp; Assumptions'!$E$13*C317</f>
        <v>32968.2062410892</v>
      </c>
      <c r="N317" s="25" t="n">
        <f aca="false">K317*'Cover &amp; Assumptions'!$C$11+L317*'Cover &amp; Assumptions'!$C$12+M317*'Cover &amp; Assumptions'!$C$13</f>
        <v>21723.0163536832</v>
      </c>
    </row>
    <row r="318" customFormat="false" ht="15" hidden="false" customHeight="false" outlineLevel="0" collapsed="false">
      <c r="A318" s="17" t="str">
        <f aca="false">Portfolio!A318</f>
        <v>UKSME-108645</v>
      </c>
      <c r="B318" s="17" t="str">
        <f aca="false">Portfolio!B318</f>
        <v>Wholesale</v>
      </c>
      <c r="C318" s="21" t="n">
        <f aca="false">Portfolio!D318</f>
        <v>31826</v>
      </c>
      <c r="D318" s="22" t="n">
        <f aca="false">Portfolio!G318</f>
        <v>0.228574396902492</v>
      </c>
      <c r="E318" s="23" t="n">
        <f aca="false">Portfolio!E318</f>
        <v>0.573</v>
      </c>
      <c r="F318" s="17" t="n">
        <f aca="false">Portfolio!F318</f>
        <v>0</v>
      </c>
      <c r="G318" s="16" t="str">
        <f aca="false">IF(OR(F318&gt;='Cover &amp; Assumptions'!$C$22,Portfolio!I318=1),"Stage 3",IF(OR(F318&gt;=30,D318&gt;'Cover &amp; Assumptions'!$C$21),"Stage 2","Stage 1"))</f>
        <v>Stage 3</v>
      </c>
      <c r="H318" s="16" t="n">
        <f aca="false">IF(G318="Stage 1",12,MIN(Portfolio!H318,60))</f>
        <v>48</v>
      </c>
      <c r="I318" s="24" t="n">
        <f aca="false">1-(1-D318)^(H318/12)</f>
        <v>0.645859011775249</v>
      </c>
      <c r="J318" s="24" t="n">
        <f aca="false">IF(G318="Stage 1",D318,I318)</f>
        <v>0.645859011775249</v>
      </c>
      <c r="K318" s="25" t="n">
        <f aca="false">J318*'Cover &amp; Assumptions'!$D$11*E318*'Cover &amp; Assumptions'!$E$11*C318</f>
        <v>9510.79750431055</v>
      </c>
      <c r="L318" s="25" t="n">
        <f aca="false">J318*'Cover &amp; Assumptions'!$D$12*E318*'Cover &amp; Assumptions'!$E$12*C318</f>
        <v>11778.077404719</v>
      </c>
      <c r="M318" s="25" t="n">
        <f aca="false">J318*'Cover &amp; Assumptions'!$D$13*E318*'Cover &amp; Assumptions'!$E$13*C318</f>
        <v>20493.854684211</v>
      </c>
      <c r="N318" s="25" t="n">
        <f aca="false">K318*'Cover &amp; Assumptions'!$C$11+L318*'Cover &amp; Assumptions'!$C$12+M318*'Cover &amp; Assumptions'!$C$13</f>
        <v>13503.5657445103</v>
      </c>
    </row>
    <row r="319" customFormat="false" ht="15" hidden="false" customHeight="false" outlineLevel="0" collapsed="false">
      <c r="A319" s="17" t="str">
        <f aca="false">Portfolio!A319</f>
        <v>UKSME-109189</v>
      </c>
      <c r="B319" s="17" t="str">
        <f aca="false">Portfolio!B319</f>
        <v>Technology</v>
      </c>
      <c r="C319" s="21" t="n">
        <f aca="false">Portfolio!D319</f>
        <v>54696</v>
      </c>
      <c r="D319" s="22" t="n">
        <f aca="false">Portfolio!G319</f>
        <v>0.176949302211378</v>
      </c>
      <c r="E319" s="23" t="n">
        <f aca="false">Portfolio!E319</f>
        <v>0.506</v>
      </c>
      <c r="F319" s="17" t="n">
        <f aca="false">Portfolio!F319</f>
        <v>15</v>
      </c>
      <c r="G319" s="16" t="str">
        <f aca="false">IF(OR(F319&gt;='Cover &amp; Assumptions'!$C$22,Portfolio!I319=1),"Stage 3",IF(OR(F319&gt;=30,D319&gt;'Cover &amp; Assumptions'!$C$21),"Stage 2","Stage 1"))</f>
        <v>Stage 2</v>
      </c>
      <c r="H319" s="16" t="n">
        <f aca="false">IF(G319="Stage 1",12,MIN(Portfolio!H319,60))</f>
        <v>48</v>
      </c>
      <c r="I319" s="24" t="n">
        <f aca="false">1-(1-D319)^(H319/12)</f>
        <v>0.541112371053588</v>
      </c>
      <c r="J319" s="24" t="n">
        <f aca="false">IF(G319="Stage 1",D319,I319)</f>
        <v>0.541112371053588</v>
      </c>
      <c r="K319" s="25" t="n">
        <f aca="false">J319*'Cover &amp; Assumptions'!$D$11*E319*'Cover &amp; Assumptions'!$E$11*C319</f>
        <v>12093.0563827731</v>
      </c>
      <c r="L319" s="25" t="n">
        <f aca="false">J319*'Cover &amp; Assumptions'!$D$12*E319*'Cover &amp; Assumptions'!$E$12*C319</f>
        <v>14975.9212170564</v>
      </c>
      <c r="M319" s="25" t="n">
        <f aca="false">J319*'Cover &amp; Assumptions'!$D$13*E319*'Cover &amp; Assumptions'!$E$13*C319</f>
        <v>26058.1029176782</v>
      </c>
      <c r="N319" s="25" t="n">
        <f aca="false">K319*'Cover &amp; Assumptions'!$C$11+L319*'Cover &amp; Assumptions'!$C$12+M319*'Cover &amp; Assumptions'!$C$13</f>
        <v>17169.8936753552</v>
      </c>
    </row>
    <row r="320" customFormat="false" ht="15" hidden="false" customHeight="false" outlineLevel="0" collapsed="false">
      <c r="A320" s="17" t="str">
        <f aca="false">Portfolio!A320</f>
        <v>UKSME-108472</v>
      </c>
      <c r="B320" s="17" t="str">
        <f aca="false">Portfolio!B320</f>
        <v>Transport</v>
      </c>
      <c r="C320" s="21" t="n">
        <f aca="false">Portfolio!D320</f>
        <v>21741</v>
      </c>
      <c r="D320" s="22" t="n">
        <f aca="false">Portfolio!G320</f>
        <v>0.001</v>
      </c>
      <c r="E320" s="23" t="n">
        <f aca="false">Portfolio!E320</f>
        <v>0.221</v>
      </c>
      <c r="F320" s="17" t="n">
        <f aca="false">Portfolio!F320</f>
        <v>0</v>
      </c>
      <c r="G320" s="16" t="str">
        <f aca="false">IF(OR(F320&gt;='Cover &amp; Assumptions'!$C$22,Portfolio!I320=1),"Stage 3",IF(OR(F320&gt;=30,D320&gt;'Cover &amp; Assumptions'!$C$21),"Stage 2","Stage 1"))</f>
        <v>Stage 1</v>
      </c>
      <c r="H320" s="16" t="n">
        <f aca="false">IF(G320="Stage 1",12,MIN(Portfolio!H320,60))</f>
        <v>12</v>
      </c>
      <c r="I320" s="24" t="n">
        <f aca="false">1-(1-D320)^(H320/12)</f>
        <v>0.001</v>
      </c>
      <c r="J320" s="24" t="n">
        <f aca="false">IF(G320="Stage 1",D320,I320)</f>
        <v>0.001</v>
      </c>
      <c r="K320" s="25" t="n">
        <f aca="false">J320*'Cover &amp; Assumptions'!$D$11*E320*'Cover &amp; Assumptions'!$E$11*C320</f>
        <v>3.8798445075</v>
      </c>
      <c r="L320" s="25" t="n">
        <f aca="false">J320*'Cover &amp; Assumptions'!$D$12*E320*'Cover &amp; Assumptions'!$E$12*C320</f>
        <v>4.804761</v>
      </c>
      <c r="M320" s="25" t="n">
        <f aca="false">J320*'Cover &amp; Assumptions'!$D$13*E320*'Cover &amp; Assumptions'!$E$13*C320</f>
        <v>8.36028414</v>
      </c>
      <c r="N320" s="25" t="n">
        <f aca="false">K320*'Cover &amp; Assumptions'!$C$11+L320*'Cover &amp; Assumptions'!$C$12+M320*'Cover &amp; Assumptions'!$C$13</f>
        <v>5.5086584865</v>
      </c>
    </row>
    <row r="321" customFormat="false" ht="15" hidden="false" customHeight="false" outlineLevel="0" collapsed="false">
      <c r="A321" s="17" t="str">
        <f aca="false">Portfolio!A321</f>
        <v>UKSME-103488</v>
      </c>
      <c r="B321" s="17" t="str">
        <f aca="false">Portfolio!B321</f>
        <v>Construction</v>
      </c>
      <c r="C321" s="21" t="n">
        <f aca="false">Portfolio!D321</f>
        <v>135471</v>
      </c>
      <c r="D321" s="22" t="n">
        <f aca="false">Portfolio!G321</f>
        <v>0.168529545072271</v>
      </c>
      <c r="E321" s="23" t="n">
        <f aca="false">Portfolio!E321</f>
        <v>0.496</v>
      </c>
      <c r="F321" s="17" t="n">
        <f aca="false">Portfolio!F321</f>
        <v>0</v>
      </c>
      <c r="G321" s="16" t="str">
        <f aca="false">IF(OR(F321&gt;='Cover &amp; Assumptions'!$C$22,Portfolio!I321=1),"Stage 3",IF(OR(F321&gt;=30,D321&gt;'Cover &amp; Assumptions'!$C$21),"Stage 2","Stage 1"))</f>
        <v>Stage 2</v>
      </c>
      <c r="H321" s="16" t="n">
        <f aca="false">IF(G321="Stage 1",12,MIN(Portfolio!H321,60))</f>
        <v>48</v>
      </c>
      <c r="I321" s="24" t="n">
        <f aca="false">1-(1-D321)^(H321/12)</f>
        <v>0.522044693999143</v>
      </c>
      <c r="J321" s="24" t="n">
        <f aca="false">IF(G321="Stage 1",D321,I321)</f>
        <v>0.522044693999143</v>
      </c>
      <c r="K321" s="25" t="n">
        <f aca="false">J321*'Cover &amp; Assumptions'!$D$11*E321*'Cover &amp; Assumptions'!$E$11*C321</f>
        <v>28325.5420930083</v>
      </c>
      <c r="L321" s="25" t="n">
        <f aca="false">J321*'Cover &amp; Assumptions'!$D$12*E321*'Cover &amp; Assumptions'!$E$12*C321</f>
        <v>35078.0707034159</v>
      </c>
      <c r="M321" s="25" t="n">
        <f aca="false">J321*'Cover &amp; Assumptions'!$D$13*E321*'Cover &amp; Assumptions'!$E$13*C321</f>
        <v>61035.8430239437</v>
      </c>
      <c r="N321" s="25" t="n">
        <f aca="false">K321*'Cover &amp; Assumptions'!$C$11+L321*'Cover &amp; Assumptions'!$C$12+M321*'Cover &amp; Assumptions'!$C$13</f>
        <v>40217.0080614663</v>
      </c>
    </row>
    <row r="322" customFormat="false" ht="15" hidden="false" customHeight="false" outlineLevel="0" collapsed="false">
      <c r="A322" s="17" t="str">
        <f aca="false">Portfolio!A322</f>
        <v>UKSME-100631</v>
      </c>
      <c r="B322" s="17" t="str">
        <f aca="false">Portfolio!B322</f>
        <v>Hospitality</v>
      </c>
      <c r="C322" s="21" t="n">
        <f aca="false">Portfolio!D322</f>
        <v>519484</v>
      </c>
      <c r="D322" s="22" t="n">
        <f aca="false">Portfolio!G322</f>
        <v>0.108998453311874</v>
      </c>
      <c r="E322" s="23" t="n">
        <f aca="false">Portfolio!E322</f>
        <v>0.167</v>
      </c>
      <c r="F322" s="17" t="n">
        <f aca="false">Portfolio!F322</f>
        <v>5</v>
      </c>
      <c r="G322" s="16" t="str">
        <f aca="false">IF(OR(F322&gt;='Cover &amp; Assumptions'!$C$22,Portfolio!I322=1),"Stage 3",IF(OR(F322&gt;=30,D322&gt;'Cover &amp; Assumptions'!$C$21),"Stage 2","Stage 1"))</f>
        <v>Stage 1</v>
      </c>
      <c r="H322" s="16" t="n">
        <f aca="false">IF(G322="Stage 1",12,MIN(Portfolio!H322,60))</f>
        <v>12</v>
      </c>
      <c r="I322" s="24" t="n">
        <f aca="false">1-(1-D322)^(H322/12)</f>
        <v>0.108998453311874</v>
      </c>
      <c r="J322" s="24" t="n">
        <f aca="false">IF(G322="Stage 1",D322,I322)</f>
        <v>0.108998453311874</v>
      </c>
      <c r="K322" s="25" t="n">
        <f aca="false">J322*'Cover &amp; Assumptions'!$D$11*E322*'Cover &amp; Assumptions'!$E$11*C322</f>
        <v>7635.74670473913</v>
      </c>
      <c r="L322" s="25" t="n">
        <f aca="false">J322*'Cover &amp; Assumptions'!$D$12*E322*'Cover &amp; Assumptions'!$E$12*C322</f>
        <v>9456.03307088437</v>
      </c>
      <c r="M322" s="25" t="n">
        <f aca="false">J322*'Cover &amp; Assumptions'!$D$13*E322*'Cover &amp; Assumptions'!$E$13*C322</f>
        <v>16453.4975433388</v>
      </c>
      <c r="N322" s="25" t="n">
        <f aca="false">K322*'Cover &amp; Assumptions'!$C$11+L322*'Cover &amp; Assumptions'!$C$12+M322*'Cover &amp; Assumptions'!$C$13</f>
        <v>10841.3419157689</v>
      </c>
    </row>
    <row r="323" customFormat="false" ht="15" hidden="false" customHeight="false" outlineLevel="0" collapsed="false">
      <c r="A323" s="17" t="str">
        <f aca="false">Portfolio!A323</f>
        <v>UKSME-103427</v>
      </c>
      <c r="B323" s="17" t="str">
        <f aca="false">Portfolio!B323</f>
        <v>Retail</v>
      </c>
      <c r="C323" s="21" t="n">
        <f aca="false">Portfolio!D323</f>
        <v>130801</v>
      </c>
      <c r="D323" s="22" t="n">
        <f aca="false">Portfolio!G323</f>
        <v>0.0808568735112992</v>
      </c>
      <c r="E323" s="23" t="n">
        <f aca="false">Portfolio!E323</f>
        <v>0.366</v>
      </c>
      <c r="F323" s="17" t="n">
        <f aca="false">Portfolio!F323</f>
        <v>0</v>
      </c>
      <c r="G323" s="16" t="str">
        <f aca="false">IF(OR(F323&gt;='Cover &amp; Assumptions'!$C$22,Portfolio!I323=1),"Stage 3",IF(OR(F323&gt;=30,D323&gt;'Cover &amp; Assumptions'!$C$21),"Stage 2","Stage 1"))</f>
        <v>Stage 1</v>
      </c>
      <c r="H323" s="16" t="n">
        <f aca="false">IF(G323="Stage 1",12,MIN(Portfolio!H323,60))</f>
        <v>12</v>
      </c>
      <c r="I323" s="24" t="n">
        <f aca="false">1-(1-D323)^(H323/12)</f>
        <v>0.0808568735112992</v>
      </c>
      <c r="J323" s="24" t="n">
        <f aca="false">IF(G323="Stage 1",D323,I323)</f>
        <v>0.0808568735112992</v>
      </c>
      <c r="K323" s="25" t="n">
        <f aca="false">J323*'Cover &amp; Assumptions'!$D$11*E323*'Cover &amp; Assumptions'!$E$11*C323</f>
        <v>3125.7311812368</v>
      </c>
      <c r="L323" s="25" t="n">
        <f aca="false">J323*'Cover &amp; Assumptions'!$D$12*E323*'Cover &amp; Assumptions'!$E$12*C323</f>
        <v>3870.87452784743</v>
      </c>
      <c r="M323" s="25" t="n">
        <f aca="false">J323*'Cover &amp; Assumptions'!$D$13*E323*'Cover &amp; Assumptions'!$E$13*C323</f>
        <v>6735.32167845453</v>
      </c>
      <c r="N323" s="25" t="n">
        <f aca="false">K323*'Cover &amp; Assumptions'!$C$11+L323*'Cover &amp; Assumptions'!$C$12+M323*'Cover &amp; Assumptions'!$C$13</f>
        <v>4437.95764617708</v>
      </c>
    </row>
    <row r="324" customFormat="false" ht="15" hidden="false" customHeight="false" outlineLevel="0" collapsed="false">
      <c r="A324" s="17" t="str">
        <f aca="false">Portfolio!A324</f>
        <v>UKSME-100175</v>
      </c>
      <c r="B324" s="17" t="str">
        <f aca="false">Portfolio!B324</f>
        <v>Professional Services</v>
      </c>
      <c r="C324" s="21" t="n">
        <f aca="false">Portfolio!D324</f>
        <v>158425</v>
      </c>
      <c r="D324" s="22" t="n">
        <f aca="false">Portfolio!G324</f>
        <v>0.115104691940505</v>
      </c>
      <c r="E324" s="23" t="n">
        <f aca="false">Portfolio!E324</f>
        <v>0.171</v>
      </c>
      <c r="F324" s="17" t="n">
        <f aca="false">Portfolio!F324</f>
        <v>0</v>
      </c>
      <c r="G324" s="16" t="str">
        <f aca="false">IF(OR(F324&gt;='Cover &amp; Assumptions'!$C$22,Portfolio!I324=1),"Stage 3",IF(OR(F324&gt;=30,D324&gt;'Cover &amp; Assumptions'!$C$21),"Stage 2","Stage 1"))</f>
        <v>Stage 3</v>
      </c>
      <c r="H324" s="16" t="n">
        <f aca="false">IF(G324="Stage 1",12,MIN(Portfolio!H324,60))</f>
        <v>60</v>
      </c>
      <c r="I324" s="24" t="n">
        <f aca="false">1-(1-D324)^(H324/12)</f>
        <v>0.457425396336467</v>
      </c>
      <c r="J324" s="24" t="n">
        <f aca="false">IF(G324="Stage 1",D324,I324)</f>
        <v>0.457425396336467</v>
      </c>
      <c r="K324" s="25" t="n">
        <f aca="false">J324*'Cover &amp; Assumptions'!$D$11*E324*'Cover &amp; Assumptions'!$E$11*C324</f>
        <v>10006.5099197347</v>
      </c>
      <c r="L324" s="25" t="n">
        <f aca="false">J324*'Cover &amp; Assumptions'!$D$12*E324*'Cover &amp; Assumptions'!$E$12*C324</f>
        <v>12391.9627488974</v>
      </c>
      <c r="M324" s="25" t="n">
        <f aca="false">J324*'Cover &amp; Assumptions'!$D$13*E324*'Cover &amp; Assumptions'!$E$13*C324</f>
        <v>21562.0151830815</v>
      </c>
      <c r="N324" s="25" t="n">
        <f aca="false">K324*'Cover &amp; Assumptions'!$C$11+L324*'Cover &amp; Assumptions'!$C$12+M324*'Cover &amp; Assumptions'!$C$13</f>
        <v>14207.3852916109</v>
      </c>
    </row>
    <row r="325" customFormat="false" ht="15" hidden="false" customHeight="false" outlineLevel="0" collapsed="false">
      <c r="A325" s="17" t="str">
        <f aca="false">Portfolio!A325</f>
        <v>UKSME-100232</v>
      </c>
      <c r="B325" s="17" t="str">
        <f aca="false">Portfolio!B325</f>
        <v>Wholesale</v>
      </c>
      <c r="C325" s="21" t="n">
        <f aca="false">Portfolio!D325</f>
        <v>18054</v>
      </c>
      <c r="D325" s="22" t="n">
        <f aca="false">Portfolio!G325</f>
        <v>0.192383091072034</v>
      </c>
      <c r="E325" s="23" t="n">
        <f aca="false">Portfolio!E325</f>
        <v>0.21</v>
      </c>
      <c r="F325" s="17" t="n">
        <f aca="false">Portfolio!F325</f>
        <v>0</v>
      </c>
      <c r="G325" s="16" t="str">
        <f aca="false">IF(OR(F325&gt;='Cover &amp; Assumptions'!$C$22,Portfolio!I325=1),"Stage 3",IF(OR(F325&gt;=30,D325&gt;'Cover &amp; Assumptions'!$C$21),"Stage 2","Stage 1"))</f>
        <v>Stage 2</v>
      </c>
      <c r="H325" s="16" t="n">
        <f aca="false">IF(G325="Stage 1",12,MIN(Portfolio!H325,60))</f>
        <v>36</v>
      </c>
      <c r="I325" s="24" t="n">
        <f aca="false">1-(1-D325)^(H325/12)</f>
        <v>0.473235851421921</v>
      </c>
      <c r="J325" s="24" t="n">
        <f aca="false">IF(G325="Stage 1",D325,I325)</f>
        <v>0.473235851421921</v>
      </c>
      <c r="K325" s="25" t="n">
        <f aca="false">J325*'Cover &amp; Assumptions'!$D$11*E325*'Cover &amp; Assumptions'!$E$11*C325</f>
        <v>1448.81489544096</v>
      </c>
      <c r="L325" s="25" t="n">
        <f aca="false">J325*'Cover &amp; Assumptions'!$D$12*E325*'Cover &amp; Assumptions'!$E$12*C325</f>
        <v>1794.19801292999</v>
      </c>
      <c r="M325" s="25" t="n">
        <f aca="false">J325*'Cover &amp; Assumptions'!$D$13*E325*'Cover &amp; Assumptions'!$E$13*C325</f>
        <v>3121.90454249818</v>
      </c>
      <c r="N325" s="25" t="n">
        <f aca="false">K325*'Cover &amp; Assumptions'!$C$11+L325*'Cover &amp; Assumptions'!$C$12+M325*'Cover &amp; Assumptions'!$C$13</f>
        <v>2057.04802182423</v>
      </c>
    </row>
    <row r="326" customFormat="false" ht="15" hidden="false" customHeight="false" outlineLevel="0" collapsed="false">
      <c r="A326" s="17" t="str">
        <f aca="false">Portfolio!A326</f>
        <v>UKSME-102338</v>
      </c>
      <c r="B326" s="17" t="str">
        <f aca="false">Portfolio!B326</f>
        <v>Professional Services</v>
      </c>
      <c r="C326" s="21" t="n">
        <f aca="false">Portfolio!D326</f>
        <v>225139</v>
      </c>
      <c r="D326" s="22" t="n">
        <f aca="false">Portfolio!G326</f>
        <v>0.503295286344735</v>
      </c>
      <c r="E326" s="23" t="n">
        <f aca="false">Portfolio!E326</f>
        <v>0.124</v>
      </c>
      <c r="F326" s="17" t="n">
        <f aca="false">Portfolio!F326</f>
        <v>0</v>
      </c>
      <c r="G326" s="16" t="str">
        <f aca="false">IF(OR(F326&gt;='Cover &amp; Assumptions'!$C$22,Portfolio!I326=1),"Stage 3",IF(OR(F326&gt;=30,D326&gt;'Cover &amp; Assumptions'!$C$21),"Stage 2","Stage 1"))</f>
        <v>Stage 3</v>
      </c>
      <c r="H326" s="16" t="n">
        <f aca="false">IF(G326="Stage 1",12,MIN(Portfolio!H326,60))</f>
        <v>60</v>
      </c>
      <c r="I326" s="24" t="n">
        <f aca="false">1-(1-D326)^(H326/12)</f>
        <v>0.969766292506273</v>
      </c>
      <c r="J326" s="24" t="n">
        <f aca="false">IF(G326="Stage 1",D326,I326)</f>
        <v>0.969766292506273</v>
      </c>
      <c r="K326" s="25" t="n">
        <f aca="false">J326*'Cover &amp; Assumptions'!$D$11*E326*'Cover &amp; Assumptions'!$E$11*C326</f>
        <v>21861.6045205897</v>
      </c>
      <c r="L326" s="25" t="n">
        <f aca="false">J326*'Cover &amp; Assumptions'!$D$12*E326*'Cover &amp; Assumptions'!$E$12*C326</f>
        <v>27073.1944527427</v>
      </c>
      <c r="M326" s="25" t="n">
        <f aca="false">J326*'Cover &amp; Assumptions'!$D$13*E326*'Cover &amp; Assumptions'!$E$13*C326</f>
        <v>47107.3583477722</v>
      </c>
      <c r="N326" s="25" t="n">
        <f aca="false">K326*'Cover &amp; Assumptions'!$C$11+L326*'Cover &amp; Assumptions'!$C$12+M326*'Cover &amp; Assumptions'!$C$13</f>
        <v>31039.4174400695</v>
      </c>
    </row>
    <row r="327" customFormat="false" ht="15" hidden="false" customHeight="false" outlineLevel="0" collapsed="false">
      <c r="A327" s="17" t="str">
        <f aca="false">Portfolio!A327</f>
        <v>UKSME-106361</v>
      </c>
      <c r="B327" s="17" t="str">
        <f aca="false">Portfolio!B327</f>
        <v>Real Estate</v>
      </c>
      <c r="C327" s="21" t="n">
        <f aca="false">Portfolio!D327</f>
        <v>17597</v>
      </c>
      <c r="D327" s="22" t="n">
        <f aca="false">Portfolio!G327</f>
        <v>0.22309757470483</v>
      </c>
      <c r="E327" s="23" t="n">
        <f aca="false">Portfolio!E327</f>
        <v>0.588</v>
      </c>
      <c r="F327" s="17" t="n">
        <f aca="false">Portfolio!F327</f>
        <v>0</v>
      </c>
      <c r="G327" s="16" t="str">
        <f aca="false">IF(OR(F327&gt;='Cover &amp; Assumptions'!$C$22,Portfolio!I327=1),"Stage 3",IF(OR(F327&gt;=30,D327&gt;'Cover &amp; Assumptions'!$C$21),"Stage 2","Stage 1"))</f>
        <v>Stage 2</v>
      </c>
      <c r="H327" s="16" t="n">
        <f aca="false">IF(G327="Stage 1",12,MIN(Portfolio!H327,60))</f>
        <v>60</v>
      </c>
      <c r="I327" s="24" t="n">
        <f aca="false">1-(1-D327)^(H327/12)</f>
        <v>0.71697005560525</v>
      </c>
      <c r="J327" s="24" t="n">
        <f aca="false">IF(G327="Stage 1",D327,I327)</f>
        <v>0.71697005560525</v>
      </c>
      <c r="K327" s="25" t="n">
        <f aca="false">J327*'Cover &amp; Assumptions'!$D$11*E327*'Cover &amp; Assumptions'!$E$11*C327</f>
        <v>5990.45084333764</v>
      </c>
      <c r="L327" s="25" t="n">
        <f aca="false">J327*'Cover &amp; Assumptions'!$D$12*E327*'Cover &amp; Assumptions'!$E$12*C327</f>
        <v>7418.51497626953</v>
      </c>
      <c r="M327" s="25" t="n">
        <f aca="false">J327*'Cover &amp; Assumptions'!$D$13*E327*'Cover &amp; Assumptions'!$E$13*C327</f>
        <v>12908.216058709</v>
      </c>
      <c r="N327" s="25" t="n">
        <f aca="false">K327*'Cover &amp; Assumptions'!$C$11+L327*'Cover &amp; Assumptions'!$C$12+M327*'Cover &amp; Assumptions'!$C$13</f>
        <v>8505.32742029301</v>
      </c>
    </row>
    <row r="328" customFormat="false" ht="15" hidden="false" customHeight="false" outlineLevel="0" collapsed="false">
      <c r="A328" s="17" t="str">
        <f aca="false">Portfolio!A328</f>
        <v>UKSME-101596</v>
      </c>
      <c r="B328" s="17" t="str">
        <f aca="false">Portfolio!B328</f>
        <v>Wholesale</v>
      </c>
      <c r="C328" s="21" t="n">
        <f aca="false">Portfolio!D328</f>
        <v>53855</v>
      </c>
      <c r="D328" s="22" t="n">
        <f aca="false">Portfolio!G328</f>
        <v>0.001</v>
      </c>
      <c r="E328" s="23" t="n">
        <f aca="false">Portfolio!E328</f>
        <v>0.551</v>
      </c>
      <c r="F328" s="17" t="n">
        <f aca="false">Portfolio!F328</f>
        <v>0</v>
      </c>
      <c r="G328" s="16" t="str">
        <f aca="false">IF(OR(F328&gt;='Cover &amp; Assumptions'!$C$22,Portfolio!I328=1),"Stage 3",IF(OR(F328&gt;=30,D328&gt;'Cover &amp; Assumptions'!$C$21),"Stage 2","Stage 1"))</f>
        <v>Stage 1</v>
      </c>
      <c r="H328" s="16" t="n">
        <f aca="false">IF(G328="Stage 1",12,MIN(Portfolio!H328,60))</f>
        <v>12</v>
      </c>
      <c r="I328" s="24" t="n">
        <f aca="false">1-(1-D328)^(H328/12)</f>
        <v>0.001</v>
      </c>
      <c r="J328" s="24" t="n">
        <f aca="false">IF(G328="Stage 1",D328,I328)</f>
        <v>0.001</v>
      </c>
      <c r="K328" s="25" t="n">
        <f aca="false">J328*'Cover &amp; Assumptions'!$D$11*E328*'Cover &amp; Assumptions'!$E$11*C328</f>
        <v>23.9618397875</v>
      </c>
      <c r="L328" s="25" t="n">
        <f aca="false">J328*'Cover &amp; Assumptions'!$D$12*E328*'Cover &amp; Assumptions'!$E$12*C328</f>
        <v>29.674105</v>
      </c>
      <c r="M328" s="25" t="n">
        <f aca="false">J328*'Cover &amp; Assumptions'!$D$13*E328*'Cover &amp; Assumptions'!$E$13*C328</f>
        <v>51.6329427</v>
      </c>
      <c r="N328" s="25" t="n">
        <f aca="false">K328*'Cover &amp; Assumptions'!$C$11+L328*'Cover &amp; Assumptions'!$C$12+M328*'Cover &amp; Assumptions'!$C$13</f>
        <v>34.0213613825</v>
      </c>
    </row>
    <row r="329" customFormat="false" ht="15" hidden="false" customHeight="false" outlineLevel="0" collapsed="false">
      <c r="A329" s="17" t="str">
        <f aca="false">Portfolio!A329</f>
        <v>UKSME-103816</v>
      </c>
      <c r="B329" s="17" t="str">
        <f aca="false">Portfolio!B329</f>
        <v>Retail</v>
      </c>
      <c r="C329" s="21" t="n">
        <f aca="false">Portfolio!D329</f>
        <v>25169</v>
      </c>
      <c r="D329" s="22" t="n">
        <f aca="false">Portfolio!G329</f>
        <v>0.234402676926649</v>
      </c>
      <c r="E329" s="23" t="n">
        <f aca="false">Portfolio!E329</f>
        <v>0.526</v>
      </c>
      <c r="F329" s="17" t="n">
        <f aca="false">Portfolio!F329</f>
        <v>15</v>
      </c>
      <c r="G329" s="16" t="str">
        <f aca="false">IF(OR(F329&gt;='Cover &amp; Assumptions'!$C$22,Portfolio!I329=1),"Stage 3",IF(OR(F329&gt;=30,D329&gt;'Cover &amp; Assumptions'!$C$21),"Stage 2","Stage 1"))</f>
        <v>Stage 2</v>
      </c>
      <c r="H329" s="16" t="n">
        <f aca="false">IF(G329="Stage 1",12,MIN(Portfolio!H329,60))</f>
        <v>60</v>
      </c>
      <c r="I329" s="24" t="n">
        <f aca="false">1-(1-D329)^(H329/12)</f>
        <v>0.736971970592263</v>
      </c>
      <c r="J329" s="24" t="n">
        <f aca="false">IF(G329="Stage 1",D329,I329)</f>
        <v>0.736971970592263</v>
      </c>
      <c r="K329" s="25" t="n">
        <f aca="false">J329*'Cover &amp; Assumptions'!$D$11*E329*'Cover &amp; Assumptions'!$E$11*C329</f>
        <v>7878.53024321098</v>
      </c>
      <c r="L329" s="25" t="n">
        <f aca="false">J329*'Cover &amp; Assumptions'!$D$12*E329*'Cover &amp; Assumptions'!$E$12*C329</f>
        <v>9756.69379964208</v>
      </c>
      <c r="M329" s="25" t="n">
        <f aca="false">J329*'Cover &amp; Assumptions'!$D$13*E329*'Cover &amp; Assumptions'!$E$13*C329</f>
        <v>16976.6472113772</v>
      </c>
      <c r="N329" s="25" t="n">
        <f aca="false">K329*'Cover &amp; Assumptions'!$C$11+L329*'Cover &amp; Assumptions'!$C$12+M329*'Cover &amp; Assumptions'!$C$13</f>
        <v>11186.0494412896</v>
      </c>
    </row>
    <row r="330" customFormat="false" ht="15" hidden="false" customHeight="false" outlineLevel="0" collapsed="false">
      <c r="A330" s="17" t="str">
        <f aca="false">Portfolio!A330</f>
        <v>UKSME-103274</v>
      </c>
      <c r="B330" s="17" t="str">
        <f aca="false">Portfolio!B330</f>
        <v>Wholesale</v>
      </c>
      <c r="C330" s="21" t="n">
        <f aca="false">Portfolio!D330</f>
        <v>95751</v>
      </c>
      <c r="D330" s="22" t="n">
        <f aca="false">Portfolio!G330</f>
        <v>0.18732290018337</v>
      </c>
      <c r="E330" s="23" t="n">
        <f aca="false">Portfolio!E330</f>
        <v>0.248</v>
      </c>
      <c r="F330" s="17" t="n">
        <f aca="false">Portfolio!F330</f>
        <v>0</v>
      </c>
      <c r="G330" s="16" t="str">
        <f aca="false">IF(OR(F330&gt;='Cover &amp; Assumptions'!$C$22,Portfolio!I330=1),"Stage 3",IF(OR(F330&gt;=30,D330&gt;'Cover &amp; Assumptions'!$C$21),"Stage 2","Stage 1"))</f>
        <v>Stage 2</v>
      </c>
      <c r="H330" s="16" t="n">
        <f aca="false">IF(G330="Stage 1",12,MIN(Portfolio!H330,60))</f>
        <v>60</v>
      </c>
      <c r="I330" s="24" t="n">
        <f aca="false">1-(1-D330)^(H330/12)</f>
        <v>0.645521327714359</v>
      </c>
      <c r="J330" s="24" t="n">
        <f aca="false">IF(G330="Stage 1",D330,I330)</f>
        <v>0.645521327714359</v>
      </c>
      <c r="K330" s="25" t="n">
        <f aca="false">J330*'Cover &amp; Assumptions'!$D$11*E330*'Cover &amp; Assumptions'!$E$11*C330</f>
        <v>12377.9329512845</v>
      </c>
      <c r="L330" s="25" t="n">
        <f aca="false">J330*'Cover &amp; Assumptions'!$D$12*E330*'Cover &amp; Assumptions'!$E$12*C330</f>
        <v>15328.7095371944</v>
      </c>
      <c r="M330" s="25" t="n">
        <f aca="false">J330*'Cover &amp; Assumptions'!$D$13*E330*'Cover &amp; Assumptions'!$E$13*C330</f>
        <v>26671.9545947183</v>
      </c>
      <c r="N330" s="25" t="n">
        <f aca="false">K330*'Cover &amp; Assumptions'!$C$11+L330*'Cover &amp; Assumptions'!$C$12+M330*'Cover &amp; Assumptions'!$C$13</f>
        <v>17574.3654843934</v>
      </c>
    </row>
    <row r="331" customFormat="false" ht="15" hidden="false" customHeight="false" outlineLevel="0" collapsed="false">
      <c r="A331" s="17" t="str">
        <f aca="false">Portfolio!A331</f>
        <v>UKSME-105836</v>
      </c>
      <c r="B331" s="17" t="str">
        <f aca="false">Portfolio!B331</f>
        <v>Healthcare</v>
      </c>
      <c r="C331" s="21" t="n">
        <f aca="false">Portfolio!D331</f>
        <v>38295</v>
      </c>
      <c r="D331" s="22" t="n">
        <f aca="false">Portfolio!G331</f>
        <v>0.121170150000899</v>
      </c>
      <c r="E331" s="23" t="n">
        <f aca="false">Portfolio!E331</f>
        <v>0.626</v>
      </c>
      <c r="F331" s="17" t="n">
        <f aca="false">Portfolio!F331</f>
        <v>35</v>
      </c>
      <c r="G331" s="16" t="str">
        <f aca="false">IF(OR(F331&gt;='Cover &amp; Assumptions'!$C$22,Portfolio!I331=1),"Stage 3",IF(OR(F331&gt;=30,D331&gt;'Cover &amp; Assumptions'!$C$21),"Stage 2","Stage 1"))</f>
        <v>Stage 2</v>
      </c>
      <c r="H331" s="16" t="n">
        <f aca="false">IF(G331="Stage 1",12,MIN(Portfolio!H331,60))</f>
        <v>24</v>
      </c>
      <c r="I331" s="24" t="n">
        <f aca="false">1-(1-D331)^(H331/12)</f>
        <v>0.227658094750558</v>
      </c>
      <c r="J331" s="24" t="n">
        <f aca="false">IF(G331="Stage 1",D331,I331)</f>
        <v>0.227658094750558</v>
      </c>
      <c r="K331" s="25" t="n">
        <f aca="false">J331*'Cover &amp; Assumptions'!$D$11*E331*'Cover &amp; Assumptions'!$E$11*C331</f>
        <v>4406.98969546421</v>
      </c>
      <c r="L331" s="25" t="n">
        <f aca="false">J331*'Cover &amp; Assumptions'!$D$12*E331*'Cover &amp; Assumptions'!$E$12*C331</f>
        <v>5457.57237828385</v>
      </c>
      <c r="M331" s="25" t="n">
        <f aca="false">J331*'Cover &amp; Assumptions'!$D$13*E331*'Cover &amp; Assumptions'!$E$13*C331</f>
        <v>9496.1759382139</v>
      </c>
      <c r="N331" s="25" t="n">
        <f aca="false">K331*'Cover &amp; Assumptions'!$C$11+L331*'Cover &amp; Assumptions'!$C$12+M331*'Cover &amp; Assumptions'!$C$13</f>
        <v>6257.10673170244</v>
      </c>
    </row>
    <row r="332" customFormat="false" ht="15" hidden="false" customHeight="false" outlineLevel="0" collapsed="false">
      <c r="A332" s="17" t="str">
        <f aca="false">Portfolio!A332</f>
        <v>UKSME-108849</v>
      </c>
      <c r="B332" s="17" t="str">
        <f aca="false">Portfolio!B332</f>
        <v>Retail</v>
      </c>
      <c r="C332" s="21" t="n">
        <f aca="false">Portfolio!D332</f>
        <v>61984</v>
      </c>
      <c r="D332" s="22" t="n">
        <f aca="false">Portfolio!G332</f>
        <v>0.0911274307528376</v>
      </c>
      <c r="E332" s="23" t="n">
        <f aca="false">Portfolio!E332</f>
        <v>0.632</v>
      </c>
      <c r="F332" s="17" t="n">
        <f aca="false">Portfolio!F332</f>
        <v>0</v>
      </c>
      <c r="G332" s="16" t="str">
        <f aca="false">IF(OR(F332&gt;='Cover &amp; Assumptions'!$C$22,Portfolio!I332=1),"Stage 3",IF(OR(F332&gt;=30,D332&gt;'Cover &amp; Assumptions'!$C$21),"Stage 2","Stage 1"))</f>
        <v>Stage 1</v>
      </c>
      <c r="H332" s="16" t="n">
        <f aca="false">IF(G332="Stage 1",12,MIN(Portfolio!H332,60))</f>
        <v>12</v>
      </c>
      <c r="I332" s="24" t="n">
        <f aca="false">1-(1-D332)^(H332/12)</f>
        <v>0.0911274307528376</v>
      </c>
      <c r="J332" s="24" t="n">
        <f aca="false">IF(G332="Stage 1",D332,I332)</f>
        <v>0.0911274307528376</v>
      </c>
      <c r="K332" s="25" t="n">
        <f aca="false">J332*'Cover &amp; Assumptions'!$D$11*E332*'Cover &amp; Assumptions'!$E$11*C332</f>
        <v>2882.62623107683</v>
      </c>
      <c r="L332" s="25" t="n">
        <f aca="false">J332*'Cover &amp; Assumptions'!$D$12*E332*'Cover &amp; Assumptions'!$E$12*C332</f>
        <v>3569.81576603942</v>
      </c>
      <c r="M332" s="25" t="n">
        <f aca="false">J332*'Cover &amp; Assumptions'!$D$13*E332*'Cover &amp; Assumptions'!$E$13*C332</f>
        <v>6211.47943290858</v>
      </c>
      <c r="N332" s="25" t="n">
        <f aca="false">K332*'Cover &amp; Assumptions'!$C$11+L332*'Cover &amp; Assumptions'!$C$12+M332*'Cover &amp; Assumptions'!$C$13</f>
        <v>4092.79377576419</v>
      </c>
    </row>
    <row r="333" customFormat="false" ht="15" hidden="false" customHeight="false" outlineLevel="0" collapsed="false">
      <c r="A333" s="17" t="str">
        <f aca="false">Portfolio!A333</f>
        <v>UKSME-105204</v>
      </c>
      <c r="B333" s="17" t="str">
        <f aca="false">Portfolio!B333</f>
        <v>Retail</v>
      </c>
      <c r="C333" s="21" t="n">
        <f aca="false">Portfolio!D333</f>
        <v>11762</v>
      </c>
      <c r="D333" s="22" t="n">
        <f aca="false">Portfolio!G333</f>
        <v>0.124307057128502</v>
      </c>
      <c r="E333" s="23" t="n">
        <f aca="false">Portfolio!E333</f>
        <v>0.18</v>
      </c>
      <c r="F333" s="17" t="n">
        <f aca="false">Portfolio!F333</f>
        <v>0</v>
      </c>
      <c r="G333" s="16" t="str">
        <f aca="false">IF(OR(F333&gt;='Cover &amp; Assumptions'!$C$22,Portfolio!I333=1),"Stage 3",IF(OR(F333&gt;=30,D333&gt;'Cover &amp; Assumptions'!$C$21),"Stage 2","Stage 1"))</f>
        <v>Stage 1</v>
      </c>
      <c r="H333" s="16" t="n">
        <f aca="false">IF(G333="Stage 1",12,MIN(Portfolio!H333,60))</f>
        <v>12</v>
      </c>
      <c r="I333" s="24" t="n">
        <f aca="false">1-(1-D333)^(H333/12)</f>
        <v>0.124307057128502</v>
      </c>
      <c r="J333" s="24" t="n">
        <f aca="false">IF(G333="Stage 1",D333,I333)</f>
        <v>0.124307057128502</v>
      </c>
      <c r="K333" s="25" t="n">
        <f aca="false">J333*'Cover &amp; Assumptions'!$D$11*E333*'Cover &amp; Assumptions'!$E$11*C333</f>
        <v>212.51617772417</v>
      </c>
      <c r="L333" s="25" t="n">
        <f aca="false">J333*'Cover &amp; Assumptions'!$D$12*E333*'Cover &amp; Assumptions'!$E$12*C333</f>
        <v>263.17792907018</v>
      </c>
      <c r="M333" s="25" t="n">
        <f aca="false">J333*'Cover &amp; Assumptions'!$D$13*E333*'Cover &amp; Assumptions'!$E$13*C333</f>
        <v>457.929596582113</v>
      </c>
      <c r="N333" s="25" t="n">
        <f aca="false">K333*'Cover &amp; Assumptions'!$C$11+L333*'Cover &amp; Assumptions'!$C$12+M333*'Cover &amp; Assumptions'!$C$13</f>
        <v>301.733495678962</v>
      </c>
    </row>
    <row r="334" customFormat="false" ht="15" hidden="false" customHeight="false" outlineLevel="0" collapsed="false">
      <c r="A334" s="17" t="str">
        <f aca="false">Portfolio!A334</f>
        <v>UKSME-103739</v>
      </c>
      <c r="B334" s="17" t="str">
        <f aca="false">Portfolio!B334</f>
        <v>Real Estate</v>
      </c>
      <c r="C334" s="21" t="n">
        <f aca="false">Portfolio!D334</f>
        <v>52547</v>
      </c>
      <c r="D334" s="22" t="n">
        <f aca="false">Portfolio!G334</f>
        <v>0.053673708646629</v>
      </c>
      <c r="E334" s="23" t="n">
        <f aca="false">Portfolio!E334</f>
        <v>0.239</v>
      </c>
      <c r="F334" s="17" t="n">
        <f aca="false">Portfolio!F334</f>
        <v>0</v>
      </c>
      <c r="G334" s="16" t="str">
        <f aca="false">IF(OR(F334&gt;='Cover &amp; Assumptions'!$C$22,Portfolio!I334=1),"Stage 3",IF(OR(F334&gt;=30,D334&gt;'Cover &amp; Assumptions'!$C$21),"Stage 2","Stage 1"))</f>
        <v>Stage 1</v>
      </c>
      <c r="H334" s="16" t="n">
        <f aca="false">IF(G334="Stage 1",12,MIN(Portfolio!H334,60))</f>
        <v>12</v>
      </c>
      <c r="I334" s="24" t="n">
        <f aca="false">1-(1-D334)^(H334/12)</f>
        <v>0.053673708646629</v>
      </c>
      <c r="J334" s="24" t="n">
        <f aca="false">IF(G334="Stage 1",D334,I334)</f>
        <v>0.053673708646629</v>
      </c>
      <c r="K334" s="25" t="n">
        <f aca="false">J334*'Cover &amp; Assumptions'!$D$11*E334*'Cover &amp; Assumptions'!$E$11*C334</f>
        <v>544.31457413034</v>
      </c>
      <c r="L334" s="25" t="n">
        <f aca="false">J334*'Cover &amp; Assumptions'!$D$12*E334*'Cover &amp; Assumptions'!$E$12*C334</f>
        <v>674.073776012805</v>
      </c>
      <c r="M334" s="25" t="n">
        <f aca="false">J334*'Cover &amp; Assumptions'!$D$13*E334*'Cover &amp; Assumptions'!$E$13*C334</f>
        <v>1172.88837026228</v>
      </c>
      <c r="N334" s="25" t="n">
        <f aca="false">K334*'Cover &amp; Assumptions'!$C$11+L334*'Cover &amp; Assumptions'!$C$12+M334*'Cover &amp; Assumptions'!$C$13</f>
        <v>772.825584198681</v>
      </c>
    </row>
    <row r="335" customFormat="false" ht="15" hidden="false" customHeight="false" outlineLevel="0" collapsed="false">
      <c r="A335" s="17" t="str">
        <f aca="false">Portfolio!A335</f>
        <v>UKSME-107305</v>
      </c>
      <c r="B335" s="17" t="str">
        <f aca="false">Portfolio!B335</f>
        <v>Real Estate</v>
      </c>
      <c r="C335" s="21" t="n">
        <f aca="false">Portfolio!D335</f>
        <v>16443</v>
      </c>
      <c r="D335" s="22" t="n">
        <f aca="false">Portfolio!G335</f>
        <v>0.14487901416036</v>
      </c>
      <c r="E335" s="23" t="n">
        <f aca="false">Portfolio!E335</f>
        <v>0.233</v>
      </c>
      <c r="F335" s="17" t="n">
        <f aca="false">Portfolio!F335</f>
        <v>0</v>
      </c>
      <c r="G335" s="16" t="str">
        <f aca="false">IF(OR(F335&gt;='Cover &amp; Assumptions'!$C$22,Portfolio!I335=1),"Stage 3",IF(OR(F335&gt;=30,D335&gt;'Cover &amp; Assumptions'!$C$21),"Stage 2","Stage 1"))</f>
        <v>Stage 1</v>
      </c>
      <c r="H335" s="16" t="n">
        <f aca="false">IF(G335="Stage 1",12,MIN(Portfolio!H335,60))</f>
        <v>12</v>
      </c>
      <c r="I335" s="24" t="n">
        <f aca="false">1-(1-D335)^(H335/12)</f>
        <v>0.14487901416036</v>
      </c>
      <c r="J335" s="24" t="n">
        <f aca="false">IF(G335="Stage 1",D335,I335)</f>
        <v>0.14487901416036</v>
      </c>
      <c r="K335" s="25" t="n">
        <f aca="false">J335*'Cover &amp; Assumptions'!$D$11*E335*'Cover &amp; Assumptions'!$E$11*C335</f>
        <v>448.213559640097</v>
      </c>
      <c r="L335" s="25" t="n">
        <f aca="false">J335*'Cover &amp; Assumptions'!$D$12*E335*'Cover &amp; Assumptions'!$E$12*C335</f>
        <v>555.063231752442</v>
      </c>
      <c r="M335" s="25" t="n">
        <f aca="false">J335*'Cover &amp; Assumptions'!$D$13*E335*'Cover &amp; Assumptions'!$E$13*C335</f>
        <v>965.810023249249</v>
      </c>
      <c r="N335" s="25" t="n">
        <f aca="false">K335*'Cover &amp; Assumptions'!$C$11+L335*'Cover &amp; Assumptions'!$C$12+M335*'Cover &amp; Assumptions'!$C$13</f>
        <v>636.379995204175</v>
      </c>
    </row>
    <row r="336" customFormat="false" ht="15" hidden="false" customHeight="false" outlineLevel="0" collapsed="false">
      <c r="A336" s="17" t="str">
        <f aca="false">Portfolio!A336</f>
        <v>UKSME-108570</v>
      </c>
      <c r="B336" s="17" t="str">
        <f aca="false">Portfolio!B336</f>
        <v>Healthcare</v>
      </c>
      <c r="C336" s="21" t="n">
        <f aca="false">Portfolio!D336</f>
        <v>27430</v>
      </c>
      <c r="D336" s="22" t="n">
        <f aca="false">Portfolio!G336</f>
        <v>0.0612076103970642</v>
      </c>
      <c r="E336" s="23" t="n">
        <f aca="false">Portfolio!E336</f>
        <v>0.745</v>
      </c>
      <c r="F336" s="17" t="n">
        <f aca="false">Portfolio!F336</f>
        <v>15</v>
      </c>
      <c r="G336" s="16" t="str">
        <f aca="false">IF(OR(F336&gt;='Cover &amp; Assumptions'!$C$22,Portfolio!I336=1),"Stage 3",IF(OR(F336&gt;=30,D336&gt;'Cover &amp; Assumptions'!$C$21),"Stage 2","Stage 1"))</f>
        <v>Stage 1</v>
      </c>
      <c r="H336" s="16" t="n">
        <f aca="false">IF(G336="Stage 1",12,MIN(Portfolio!H336,60))</f>
        <v>12</v>
      </c>
      <c r="I336" s="24" t="n">
        <f aca="false">1-(1-D336)^(H336/12)</f>
        <v>0.0612076103970642</v>
      </c>
      <c r="J336" s="24" t="n">
        <f aca="false">IF(G336="Stage 1",D336,I336)</f>
        <v>0.0612076103970642</v>
      </c>
      <c r="K336" s="25" t="n">
        <f aca="false">J336*'Cover &amp; Assumptions'!$D$11*E336*'Cover &amp; Assumptions'!$E$11*C336</f>
        <v>1010.02014496057</v>
      </c>
      <c r="L336" s="25" t="n">
        <f aca="false">J336*'Cover &amp; Assumptions'!$D$12*E336*'Cover &amp; Assumptions'!$E$12*C336</f>
        <v>1250.79894112765</v>
      </c>
      <c r="M336" s="25" t="n">
        <f aca="false">J336*'Cover &amp; Assumptions'!$D$13*E336*'Cover &amp; Assumptions'!$E$13*C336</f>
        <v>2176.3901575621</v>
      </c>
      <c r="N336" s="25" t="n">
        <f aca="false">K336*'Cover &amp; Assumptions'!$C$11+L336*'Cover &amp; Assumptions'!$C$12+M336*'Cover &amp; Assumptions'!$C$13</f>
        <v>1434.04098600285</v>
      </c>
    </row>
    <row r="337" customFormat="false" ht="15" hidden="false" customHeight="false" outlineLevel="0" collapsed="false">
      <c r="A337" s="17" t="str">
        <f aca="false">Portfolio!A337</f>
        <v>UKSME-105919</v>
      </c>
      <c r="B337" s="17" t="str">
        <f aca="false">Portfolio!B337</f>
        <v>Transport</v>
      </c>
      <c r="C337" s="21" t="n">
        <f aca="false">Portfolio!D337</f>
        <v>298868</v>
      </c>
      <c r="D337" s="22" t="n">
        <f aca="false">Portfolio!G337</f>
        <v>0.182628995289188</v>
      </c>
      <c r="E337" s="23" t="n">
        <f aca="false">Portfolio!E337</f>
        <v>0.344</v>
      </c>
      <c r="F337" s="17" t="n">
        <f aca="false">Portfolio!F337</f>
        <v>0</v>
      </c>
      <c r="G337" s="16" t="str">
        <f aca="false">IF(OR(F337&gt;='Cover &amp; Assumptions'!$C$22,Portfolio!I337=1),"Stage 3",IF(OR(F337&gt;=30,D337&gt;'Cover &amp; Assumptions'!$C$21),"Stage 2","Stage 1"))</f>
        <v>Stage 2</v>
      </c>
      <c r="H337" s="16" t="n">
        <f aca="false">IF(G337="Stage 1",12,MIN(Portfolio!H337,60))</f>
        <v>60</v>
      </c>
      <c r="I337" s="24" t="n">
        <f aca="false">1-(1-D337)^(H337/12)</f>
        <v>0.635165300229143</v>
      </c>
      <c r="J337" s="24" t="n">
        <f aca="false">IF(G337="Stage 1",D337,I337)</f>
        <v>0.635165300229143</v>
      </c>
      <c r="K337" s="25" t="n">
        <f aca="false">J337*'Cover &amp; Assumptions'!$D$11*E337*'Cover &amp; Assumptions'!$E$11*C337</f>
        <v>52731.1393315408</v>
      </c>
      <c r="L337" s="25" t="n">
        <f aca="false">J337*'Cover &amp; Assumptions'!$D$12*E337*'Cover &amp; Assumptions'!$E$12*C337</f>
        <v>65301.7205344159</v>
      </c>
      <c r="M337" s="25" t="n">
        <f aca="false">J337*'Cover &amp; Assumptions'!$D$13*E337*'Cover &amp; Assumptions'!$E$13*C337</f>
        <v>113624.993729884</v>
      </c>
      <c r="N337" s="25" t="n">
        <f aca="false">K337*'Cover &amp; Assumptions'!$C$11+L337*'Cover &amp; Assumptions'!$C$12+M337*'Cover &amp; Assumptions'!$C$13</f>
        <v>74868.4225927078</v>
      </c>
    </row>
    <row r="338" customFormat="false" ht="15" hidden="false" customHeight="false" outlineLevel="0" collapsed="false">
      <c r="A338" s="17" t="str">
        <f aca="false">Portfolio!A338</f>
        <v>UKSME-106424</v>
      </c>
      <c r="B338" s="17" t="str">
        <f aca="false">Portfolio!B338</f>
        <v>Hospitality</v>
      </c>
      <c r="C338" s="21" t="n">
        <f aca="false">Portfolio!D338</f>
        <v>31013</v>
      </c>
      <c r="D338" s="22" t="n">
        <f aca="false">Portfolio!G338</f>
        <v>0.001</v>
      </c>
      <c r="E338" s="23" t="n">
        <f aca="false">Portfolio!E338</f>
        <v>0.676</v>
      </c>
      <c r="F338" s="17" t="n">
        <f aca="false">Portfolio!F338</f>
        <v>5</v>
      </c>
      <c r="G338" s="16" t="str">
        <f aca="false">IF(OR(F338&gt;='Cover &amp; Assumptions'!$C$22,Portfolio!I338=1),"Stage 3",IF(OR(F338&gt;=30,D338&gt;'Cover &amp; Assumptions'!$C$21),"Stage 2","Stage 1"))</f>
        <v>Stage 1</v>
      </c>
      <c r="H338" s="16" t="n">
        <f aca="false">IF(G338="Stage 1",12,MIN(Portfolio!H338,60))</f>
        <v>12</v>
      </c>
      <c r="I338" s="24" t="n">
        <f aca="false">1-(1-D338)^(H338/12)</f>
        <v>0.001</v>
      </c>
      <c r="J338" s="24" t="n">
        <f aca="false">IF(G338="Stage 1",D338,I338)</f>
        <v>0.001</v>
      </c>
      <c r="K338" s="25" t="n">
        <f aca="false">J338*'Cover &amp; Assumptions'!$D$11*E338*'Cover &amp; Assumptions'!$E$11*C338</f>
        <v>16.92906631</v>
      </c>
      <c r="L338" s="25" t="n">
        <f aca="false">J338*'Cover &amp; Assumptions'!$D$12*E338*'Cover &amp; Assumptions'!$E$12*C338</f>
        <v>20.964788</v>
      </c>
      <c r="M338" s="25" t="n">
        <f aca="false">J338*'Cover &amp; Assumptions'!$D$13*E338*'Cover &amp; Assumptions'!$E$13*C338</f>
        <v>36.47873112</v>
      </c>
      <c r="N338" s="25" t="n">
        <f aca="false">K338*'Cover &amp; Assumptions'!$C$11+L338*'Cover &amp; Assumptions'!$C$12+M338*'Cover &amp; Assumptions'!$C$13</f>
        <v>24.036129442</v>
      </c>
    </row>
    <row r="339" customFormat="false" ht="15" hidden="false" customHeight="false" outlineLevel="0" collapsed="false">
      <c r="A339" s="17" t="str">
        <f aca="false">Portfolio!A339</f>
        <v>UKSME-101483</v>
      </c>
      <c r="B339" s="17" t="str">
        <f aca="false">Portfolio!B339</f>
        <v>Real Estate</v>
      </c>
      <c r="C339" s="21" t="n">
        <f aca="false">Portfolio!D339</f>
        <v>10489</v>
      </c>
      <c r="D339" s="22" t="n">
        <f aca="false">Portfolio!G339</f>
        <v>0.195660904650998</v>
      </c>
      <c r="E339" s="23" t="n">
        <f aca="false">Portfolio!E339</f>
        <v>0.198</v>
      </c>
      <c r="F339" s="17" t="n">
        <f aca="false">Portfolio!F339</f>
        <v>5</v>
      </c>
      <c r="G339" s="16" t="str">
        <f aca="false">IF(OR(F339&gt;='Cover &amp; Assumptions'!$C$22,Portfolio!I339=1),"Stage 3",IF(OR(F339&gt;=30,D339&gt;'Cover &amp; Assumptions'!$C$21),"Stage 2","Stage 1"))</f>
        <v>Stage 2</v>
      </c>
      <c r="H339" s="16" t="n">
        <f aca="false">IF(G339="Stage 1",12,MIN(Portfolio!H339,60))</f>
        <v>60</v>
      </c>
      <c r="I339" s="24" t="n">
        <f aca="false">1-(1-D339)^(H339/12)</f>
        <v>0.663336610383184</v>
      </c>
      <c r="J339" s="24" t="n">
        <f aca="false">IF(G339="Stage 1",D339,I339)</f>
        <v>0.663336610383184</v>
      </c>
      <c r="K339" s="25" t="n">
        <f aca="false">J339*'Cover &amp; Assumptions'!$D$11*E339*'Cover &amp; Assumptions'!$E$11*C339</f>
        <v>1112.43789317325</v>
      </c>
      <c r="L339" s="25" t="n">
        <f aca="false">J339*'Cover &amp; Assumptions'!$D$12*E339*'Cover &amp; Assumptions'!$E$12*C339</f>
        <v>1377.63206584922</v>
      </c>
      <c r="M339" s="25" t="n">
        <f aca="false">J339*'Cover &amp; Assumptions'!$D$13*E339*'Cover &amp; Assumptions'!$E$13*C339</f>
        <v>2397.07979457765</v>
      </c>
      <c r="N339" s="25" t="n">
        <f aca="false">K339*'Cover &amp; Assumptions'!$C$11+L339*'Cover &amp; Assumptions'!$C$12+M339*'Cover &amp; Assumptions'!$C$13</f>
        <v>1579.45516349614</v>
      </c>
    </row>
    <row r="340" customFormat="false" ht="15" hidden="false" customHeight="false" outlineLevel="0" collapsed="false">
      <c r="A340" s="17" t="str">
        <f aca="false">Portfolio!A340</f>
        <v>UKSME-106532</v>
      </c>
      <c r="B340" s="17" t="str">
        <f aca="false">Portfolio!B340</f>
        <v>Manufacturing</v>
      </c>
      <c r="C340" s="21" t="n">
        <f aca="false">Portfolio!D340</f>
        <v>53509</v>
      </c>
      <c r="D340" s="22" t="n">
        <f aca="false">Portfolio!G340</f>
        <v>0.200560156874797</v>
      </c>
      <c r="E340" s="23" t="n">
        <f aca="false">Portfolio!E340</f>
        <v>0.766</v>
      </c>
      <c r="F340" s="17" t="n">
        <f aca="false">Portfolio!F340</f>
        <v>0</v>
      </c>
      <c r="G340" s="16" t="str">
        <f aca="false">IF(OR(F340&gt;='Cover &amp; Assumptions'!$C$22,Portfolio!I340=1),"Stage 3",IF(OR(F340&gt;=30,D340&gt;'Cover &amp; Assumptions'!$C$21),"Stage 2","Stage 1"))</f>
        <v>Stage 2</v>
      </c>
      <c r="H340" s="16" t="n">
        <f aca="false">IF(G340="Stage 1",12,MIN(Portfolio!H340,60))</f>
        <v>36</v>
      </c>
      <c r="I340" s="24" t="n">
        <f aca="false">1-(1-D340)^(H340/12)</f>
        <v>0.489074748313636</v>
      </c>
      <c r="J340" s="24" t="n">
        <f aca="false">IF(G340="Stage 1",D340,I340)</f>
        <v>0.489074748313636</v>
      </c>
      <c r="K340" s="25" t="n">
        <f aca="false">J340*'Cover &amp; Assumptions'!$D$11*E340*'Cover &amp; Assumptions'!$E$11*C340</f>
        <v>16187.2612331295</v>
      </c>
      <c r="L340" s="25" t="n">
        <f aca="false">J340*'Cover &amp; Assumptions'!$D$12*E340*'Cover &amp; Assumptions'!$E$12*C340</f>
        <v>20046.143941956</v>
      </c>
      <c r="M340" s="25" t="n">
        <f aca="false">J340*'Cover &amp; Assumptions'!$D$13*E340*'Cover &amp; Assumptions'!$E$13*C340</f>
        <v>34880.2904590034</v>
      </c>
      <c r="N340" s="25" t="n">
        <f aca="false">K340*'Cover &amp; Assumptions'!$C$11+L340*'Cover &amp; Assumptions'!$C$12+M340*'Cover &amp; Assumptions'!$C$13</f>
        <v>22982.9040294525</v>
      </c>
    </row>
    <row r="341" customFormat="false" ht="15" hidden="false" customHeight="false" outlineLevel="0" collapsed="false">
      <c r="A341" s="17" t="str">
        <f aca="false">Portfolio!A341</f>
        <v>UKSME-103976</v>
      </c>
      <c r="B341" s="17" t="str">
        <f aca="false">Portfolio!B341</f>
        <v>Construction</v>
      </c>
      <c r="C341" s="21" t="n">
        <f aca="false">Portfolio!D341</f>
        <v>52867</v>
      </c>
      <c r="D341" s="22" t="n">
        <f aca="false">Portfolio!G341</f>
        <v>0.0483427554910831</v>
      </c>
      <c r="E341" s="23" t="n">
        <f aca="false">Portfolio!E341</f>
        <v>0.777</v>
      </c>
      <c r="F341" s="17" t="n">
        <f aca="false">Portfolio!F341</f>
        <v>0</v>
      </c>
      <c r="G341" s="16" t="str">
        <f aca="false">IF(OR(F341&gt;='Cover &amp; Assumptions'!$C$22,Portfolio!I341=1),"Stage 3",IF(OR(F341&gt;=30,D341&gt;'Cover &amp; Assumptions'!$C$21),"Stage 2","Stage 1"))</f>
        <v>Stage 1</v>
      </c>
      <c r="H341" s="16" t="n">
        <f aca="false">IF(G341="Stage 1",12,MIN(Portfolio!H341,60))</f>
        <v>12</v>
      </c>
      <c r="I341" s="24" t="n">
        <f aca="false">1-(1-D341)^(H341/12)</f>
        <v>0.0483427554910831</v>
      </c>
      <c r="J341" s="24" t="n">
        <f aca="false">IF(G341="Stage 1",D341,I341)</f>
        <v>0.0483427554910831</v>
      </c>
      <c r="K341" s="25" t="n">
        <f aca="false">J341*'Cover &amp; Assumptions'!$D$11*E341*'Cover &amp; Assumptions'!$E$11*C341</f>
        <v>1603.53933433534</v>
      </c>
      <c r="L341" s="25" t="n">
        <f aca="false">J341*'Cover &amp; Assumptions'!$D$12*E341*'Cover &amp; Assumptions'!$E$12*C341</f>
        <v>1985.80722518309</v>
      </c>
      <c r="M341" s="25" t="n">
        <f aca="false">J341*'Cover &amp; Assumptions'!$D$13*E341*'Cover &amp; Assumptions'!$E$13*C341</f>
        <v>3455.30457181858</v>
      </c>
      <c r="N341" s="25" t="n">
        <f aca="false">K341*'Cover &amp; Assumptions'!$C$11+L341*'Cover &amp; Assumptions'!$C$12+M341*'Cover &amp; Assumptions'!$C$13</f>
        <v>2276.72798367241</v>
      </c>
    </row>
    <row r="342" customFormat="false" ht="15" hidden="false" customHeight="false" outlineLevel="0" collapsed="false">
      <c r="A342" s="17" t="str">
        <f aca="false">Portfolio!A342</f>
        <v>UKSME-104029</v>
      </c>
      <c r="B342" s="17" t="str">
        <f aca="false">Portfolio!B342</f>
        <v>Healthcare</v>
      </c>
      <c r="C342" s="21" t="n">
        <f aca="false">Portfolio!D342</f>
        <v>155891</v>
      </c>
      <c r="D342" s="22" t="n">
        <f aca="false">Portfolio!G342</f>
        <v>0.338446312137724</v>
      </c>
      <c r="E342" s="23" t="n">
        <f aca="false">Portfolio!E342</f>
        <v>0.474</v>
      </c>
      <c r="F342" s="17" t="n">
        <f aca="false">Portfolio!F342</f>
        <v>35</v>
      </c>
      <c r="G342" s="16" t="str">
        <f aca="false">IF(OR(F342&gt;='Cover &amp; Assumptions'!$C$22,Portfolio!I342=1),"Stage 3",IF(OR(F342&gt;=30,D342&gt;'Cover &amp; Assumptions'!$C$21),"Stage 2","Stage 1"))</f>
        <v>Stage 2</v>
      </c>
      <c r="H342" s="16" t="n">
        <f aca="false">IF(G342="Stage 1",12,MIN(Portfolio!H342,60))</f>
        <v>60</v>
      </c>
      <c r="I342" s="24" t="n">
        <f aca="false">1-(1-D342)^(H342/12)</f>
        <v>0.873285745194733</v>
      </c>
      <c r="J342" s="24" t="n">
        <f aca="false">IF(G342="Stage 1",D342,I342)</f>
        <v>0.873285745194733</v>
      </c>
      <c r="K342" s="25" t="n">
        <f aca="false">J342*'Cover &amp; Assumptions'!$D$11*E342*'Cover &amp; Assumptions'!$E$11*C342</f>
        <v>52107.2659838047</v>
      </c>
      <c r="L342" s="25" t="n">
        <f aca="false">J342*'Cover &amp; Assumptions'!$D$12*E342*'Cover &amp; Assumptions'!$E$12*C342</f>
        <v>64529.1219613681</v>
      </c>
      <c r="M342" s="25" t="n">
        <f aca="false">J342*'Cover &amp; Assumptions'!$D$13*E342*'Cover &amp; Assumptions'!$E$13*C342</f>
        <v>112280.67221278</v>
      </c>
      <c r="N342" s="25" t="n">
        <f aca="false">K342*'Cover &amp; Assumptions'!$C$11+L342*'Cover &amp; Assumptions'!$C$12+M342*'Cover &amp; Assumptions'!$C$13</f>
        <v>73982.6383287085</v>
      </c>
    </row>
    <row r="343" customFormat="false" ht="15" hidden="false" customHeight="false" outlineLevel="0" collapsed="false">
      <c r="A343" s="17" t="str">
        <f aca="false">Portfolio!A343</f>
        <v>UKSME-103564</v>
      </c>
      <c r="B343" s="17" t="str">
        <f aca="false">Portfolio!B343</f>
        <v>Manufacturing</v>
      </c>
      <c r="C343" s="21" t="n">
        <f aca="false">Portfolio!D343</f>
        <v>28889</v>
      </c>
      <c r="D343" s="22" t="n">
        <f aca="false">Portfolio!G343</f>
        <v>0.0081438407980566</v>
      </c>
      <c r="E343" s="23" t="n">
        <f aca="false">Portfolio!E343</f>
        <v>0.085</v>
      </c>
      <c r="F343" s="17" t="n">
        <f aca="false">Portfolio!F343</f>
        <v>0</v>
      </c>
      <c r="G343" s="16" t="str">
        <f aca="false">IF(OR(F343&gt;='Cover &amp; Assumptions'!$C$22,Portfolio!I343=1),"Stage 3",IF(OR(F343&gt;=30,D343&gt;'Cover &amp; Assumptions'!$C$21),"Stage 2","Stage 1"))</f>
        <v>Stage 1</v>
      </c>
      <c r="H343" s="16" t="n">
        <f aca="false">IF(G343="Stage 1",12,MIN(Portfolio!H343,60))</f>
        <v>12</v>
      </c>
      <c r="I343" s="24" t="n">
        <f aca="false">1-(1-D343)^(H343/12)</f>
        <v>0.00814384079805663</v>
      </c>
      <c r="J343" s="24" t="n">
        <f aca="false">IF(G343="Stage 1",D343,I343)</f>
        <v>0.0081438407980566</v>
      </c>
      <c r="K343" s="25" t="n">
        <f aca="false">J343*'Cover &amp; Assumptions'!$D$11*E343*'Cover &amp; Assumptions'!$E$11*C343</f>
        <v>16.1481673216435</v>
      </c>
      <c r="L343" s="25" t="n">
        <f aca="false">J343*'Cover &amp; Assumptions'!$D$12*E343*'Cover &amp; Assumptions'!$E$12*C343</f>
        <v>19.9977304292799</v>
      </c>
      <c r="M343" s="25" t="n">
        <f aca="false">J343*'Cover &amp; Assumptions'!$D$13*E343*'Cover &amp; Assumptions'!$E$13*C343</f>
        <v>34.7960509469469</v>
      </c>
      <c r="N343" s="25" t="n">
        <f aca="false">K343*'Cover &amp; Assumptions'!$C$11+L343*'Cover &amp; Assumptions'!$C$12+M343*'Cover &amp; Assumptions'!$C$13</f>
        <v>22.9273979371694</v>
      </c>
    </row>
    <row r="344" customFormat="false" ht="15" hidden="false" customHeight="false" outlineLevel="0" collapsed="false">
      <c r="A344" s="17" t="str">
        <f aca="false">Portfolio!A344</f>
        <v>UKSME-109760</v>
      </c>
      <c r="B344" s="17" t="str">
        <f aca="false">Portfolio!B344</f>
        <v>Wholesale</v>
      </c>
      <c r="C344" s="21" t="n">
        <f aca="false">Portfolio!D344</f>
        <v>260694</v>
      </c>
      <c r="D344" s="22" t="n">
        <f aca="false">Portfolio!G344</f>
        <v>0.001</v>
      </c>
      <c r="E344" s="23" t="n">
        <f aca="false">Portfolio!E344</f>
        <v>0.32</v>
      </c>
      <c r="F344" s="17" t="n">
        <f aca="false">Portfolio!F344</f>
        <v>0</v>
      </c>
      <c r="G344" s="16" t="str">
        <f aca="false">IF(OR(F344&gt;='Cover &amp; Assumptions'!$C$22,Portfolio!I344=1),"Stage 3",IF(OR(F344&gt;=30,D344&gt;'Cover &amp; Assumptions'!$C$21),"Stage 2","Stage 1"))</f>
        <v>Stage 1</v>
      </c>
      <c r="H344" s="16" t="n">
        <f aca="false">IF(G344="Stage 1",12,MIN(Portfolio!H344,60))</f>
        <v>12</v>
      </c>
      <c r="I344" s="24" t="n">
        <f aca="false">1-(1-D344)^(H344/12)</f>
        <v>0.001</v>
      </c>
      <c r="J344" s="24" t="n">
        <f aca="false">IF(G344="Stage 1",D344,I344)</f>
        <v>0.001</v>
      </c>
      <c r="K344" s="25" t="n">
        <f aca="false">J344*'Cover &amp; Assumptions'!$D$11*E344*'Cover &amp; Assumptions'!$E$11*C344</f>
        <v>67.3633296</v>
      </c>
      <c r="L344" s="25" t="n">
        <f aca="false">J344*'Cover &amp; Assumptions'!$D$12*E344*'Cover &amp; Assumptions'!$E$12*C344</f>
        <v>83.42208</v>
      </c>
      <c r="M344" s="25" t="n">
        <f aca="false">J344*'Cover &amp; Assumptions'!$D$13*E344*'Cover &amp; Assumptions'!$E$13*C344</f>
        <v>145.1544192</v>
      </c>
      <c r="N344" s="25" t="n">
        <f aca="false">K344*'Cover &amp; Assumptions'!$C$11+L344*'Cover &amp; Assumptions'!$C$12+M344*'Cover &amp; Assumptions'!$C$13</f>
        <v>95.64341472</v>
      </c>
    </row>
    <row r="345" customFormat="false" ht="15" hidden="false" customHeight="false" outlineLevel="0" collapsed="false">
      <c r="A345" s="17" t="str">
        <f aca="false">Portfolio!A345</f>
        <v>UKSME-101685</v>
      </c>
      <c r="B345" s="17" t="str">
        <f aca="false">Portfolio!B345</f>
        <v>Wholesale</v>
      </c>
      <c r="C345" s="21" t="n">
        <f aca="false">Portfolio!D345</f>
        <v>81643</v>
      </c>
      <c r="D345" s="22" t="n">
        <f aca="false">Portfolio!G345</f>
        <v>0.0344690883678157</v>
      </c>
      <c r="E345" s="23" t="n">
        <f aca="false">Portfolio!E345</f>
        <v>0.21</v>
      </c>
      <c r="F345" s="17" t="n">
        <f aca="false">Portfolio!F345</f>
        <v>0</v>
      </c>
      <c r="G345" s="16" t="str">
        <f aca="false">IF(OR(F345&gt;='Cover &amp; Assumptions'!$C$22,Portfolio!I345=1),"Stage 3",IF(OR(F345&gt;=30,D345&gt;'Cover &amp; Assumptions'!$C$21),"Stage 2","Stage 1"))</f>
        <v>Stage 1</v>
      </c>
      <c r="H345" s="16" t="n">
        <f aca="false">IF(G345="Stage 1",12,MIN(Portfolio!H345,60))</f>
        <v>12</v>
      </c>
      <c r="I345" s="24" t="n">
        <f aca="false">1-(1-D345)^(H345/12)</f>
        <v>0.0344690883678157</v>
      </c>
      <c r="J345" s="24" t="n">
        <f aca="false">IF(G345="Stage 1",D345,I345)</f>
        <v>0.0344690883678157</v>
      </c>
      <c r="K345" s="25" t="n">
        <f aca="false">J345*'Cover &amp; Assumptions'!$D$11*E345*'Cover &amp; Assumptions'!$E$11*C345</f>
        <v>477.211144967122</v>
      </c>
      <c r="L345" s="25" t="n">
        <f aca="false">J345*'Cover &amp; Assumptions'!$D$12*E345*'Cover &amp; Assumptions'!$E$12*C345</f>
        <v>590.973554138851</v>
      </c>
      <c r="M345" s="25" t="n">
        <f aca="false">J345*'Cover &amp; Assumptions'!$D$13*E345*'Cover &amp; Assumptions'!$E$13*C345</f>
        <v>1028.2939842016</v>
      </c>
      <c r="N345" s="25" t="n">
        <f aca="false">K345*'Cover &amp; Assumptions'!$C$11+L345*'Cover &amp; Assumptions'!$C$12+M345*'Cover &amp; Assumptions'!$C$13</f>
        <v>677.551179820193</v>
      </c>
    </row>
    <row r="346" customFormat="false" ht="15" hidden="false" customHeight="false" outlineLevel="0" collapsed="false">
      <c r="A346" s="17" t="str">
        <f aca="false">Portfolio!A346</f>
        <v>UKSME-100173</v>
      </c>
      <c r="B346" s="17" t="str">
        <f aca="false">Portfolio!B346</f>
        <v>Wholesale</v>
      </c>
      <c r="C346" s="21" t="n">
        <f aca="false">Portfolio!D346</f>
        <v>87245</v>
      </c>
      <c r="D346" s="22" t="n">
        <f aca="false">Portfolio!G346</f>
        <v>0.147915874430783</v>
      </c>
      <c r="E346" s="23" t="n">
        <f aca="false">Portfolio!E346</f>
        <v>0.627</v>
      </c>
      <c r="F346" s="17" t="n">
        <f aca="false">Portfolio!F346</f>
        <v>0</v>
      </c>
      <c r="G346" s="16" t="str">
        <f aca="false">IF(OR(F346&gt;='Cover &amp; Assumptions'!$C$22,Portfolio!I346=1),"Stage 3",IF(OR(F346&gt;=30,D346&gt;'Cover &amp; Assumptions'!$C$21),"Stage 2","Stage 1"))</f>
        <v>Stage 1</v>
      </c>
      <c r="H346" s="16" t="n">
        <f aca="false">IF(G346="Stage 1",12,MIN(Portfolio!H346,60))</f>
        <v>12</v>
      </c>
      <c r="I346" s="24" t="n">
        <f aca="false">1-(1-D346)^(H346/12)</f>
        <v>0.147915874430783</v>
      </c>
      <c r="J346" s="24" t="n">
        <f aca="false">IF(G346="Stage 1",D346,I346)</f>
        <v>0.147915874430783</v>
      </c>
      <c r="K346" s="25" t="n">
        <f aca="false">J346*'Cover &amp; Assumptions'!$D$11*E346*'Cover &amp; Assumptions'!$E$11*C346</f>
        <v>6533.7934935857</v>
      </c>
      <c r="L346" s="25" t="n">
        <f aca="false">J346*'Cover &amp; Assumptions'!$D$12*E346*'Cover &amp; Assumptions'!$E$12*C346</f>
        <v>8091.38513137548</v>
      </c>
      <c r="M346" s="25" t="n">
        <f aca="false">J346*'Cover &amp; Assumptions'!$D$13*E346*'Cover &amp; Assumptions'!$E$13*C346</f>
        <v>14079.0101285933</v>
      </c>
      <c r="N346" s="25" t="n">
        <f aca="false">K346*'Cover &amp; Assumptions'!$C$11+L346*'Cover &amp; Assumptions'!$C$12+M346*'Cover &amp; Assumptions'!$C$13</f>
        <v>9276.77305312199</v>
      </c>
    </row>
    <row r="347" customFormat="false" ht="15" hidden="false" customHeight="false" outlineLevel="0" collapsed="false">
      <c r="A347" s="17" t="str">
        <f aca="false">Portfolio!A347</f>
        <v>UKSME-101180</v>
      </c>
      <c r="B347" s="17" t="str">
        <f aca="false">Portfolio!B347</f>
        <v>Professional Services</v>
      </c>
      <c r="C347" s="21" t="n">
        <f aca="false">Portfolio!D347</f>
        <v>96244</v>
      </c>
      <c r="D347" s="22" t="n">
        <f aca="false">Portfolio!G347</f>
        <v>0.146990401034657</v>
      </c>
      <c r="E347" s="23" t="n">
        <f aca="false">Portfolio!E347</f>
        <v>0.179</v>
      </c>
      <c r="F347" s="17" t="n">
        <f aca="false">Portfolio!F347</f>
        <v>0</v>
      </c>
      <c r="G347" s="16" t="str">
        <f aca="false">IF(OR(F347&gt;='Cover &amp; Assumptions'!$C$22,Portfolio!I347=1),"Stage 3",IF(OR(F347&gt;=30,D347&gt;'Cover &amp; Assumptions'!$C$21),"Stage 2","Stage 1"))</f>
        <v>Stage 1</v>
      </c>
      <c r="H347" s="16" t="n">
        <f aca="false">IF(G347="Stage 1",12,MIN(Portfolio!H347,60))</f>
        <v>12</v>
      </c>
      <c r="I347" s="24" t="n">
        <f aca="false">1-(1-D347)^(H347/12)</f>
        <v>0.146990401034657</v>
      </c>
      <c r="J347" s="24" t="n">
        <f aca="false">IF(G347="Stage 1",D347,I347)</f>
        <v>0.146990401034657</v>
      </c>
      <c r="K347" s="25" t="n">
        <f aca="false">J347*'Cover &amp; Assumptions'!$D$11*E347*'Cover &amp; Assumptions'!$E$11*C347</f>
        <v>2044.83467583912</v>
      </c>
      <c r="L347" s="25" t="n">
        <f aca="false">J347*'Cover &amp; Assumptions'!$D$12*E347*'Cover &amp; Assumptions'!$E$12*C347</f>
        <v>2532.30300413513</v>
      </c>
      <c r="M347" s="25" t="n">
        <f aca="false">J347*'Cover &amp; Assumptions'!$D$13*E347*'Cover &amp; Assumptions'!$E$13*C347</f>
        <v>4406.20722719513</v>
      </c>
      <c r="N347" s="25" t="n">
        <f aca="false">K347*'Cover &amp; Assumptions'!$C$11+L347*'Cover &amp; Assumptions'!$C$12+M347*'Cover &amp; Assumptions'!$C$13</f>
        <v>2903.28539424093</v>
      </c>
    </row>
    <row r="348" customFormat="false" ht="15" hidden="false" customHeight="false" outlineLevel="0" collapsed="false">
      <c r="A348" s="17" t="str">
        <f aca="false">Portfolio!A348</f>
        <v>UKSME-101407</v>
      </c>
      <c r="B348" s="17" t="str">
        <f aca="false">Portfolio!B348</f>
        <v>Hospitality</v>
      </c>
      <c r="C348" s="21" t="n">
        <f aca="false">Portfolio!D348</f>
        <v>34091</v>
      </c>
      <c r="D348" s="22" t="n">
        <f aca="false">Portfolio!G348</f>
        <v>0.208860674827994</v>
      </c>
      <c r="E348" s="23" t="n">
        <f aca="false">Portfolio!E348</f>
        <v>0.389</v>
      </c>
      <c r="F348" s="17" t="n">
        <f aca="false">Portfolio!F348</f>
        <v>0</v>
      </c>
      <c r="G348" s="16" t="str">
        <f aca="false">IF(OR(F348&gt;='Cover &amp; Assumptions'!$C$22,Portfolio!I348=1),"Stage 3",IF(OR(F348&gt;=30,D348&gt;'Cover &amp; Assumptions'!$C$21),"Stage 2","Stage 1"))</f>
        <v>Stage 2</v>
      </c>
      <c r="H348" s="16" t="n">
        <f aca="false">IF(G348="Stage 1",12,MIN(Portfolio!H348,60))</f>
        <v>60</v>
      </c>
      <c r="I348" s="24" t="n">
        <f aca="false">1-(1-D348)^(H348/12)</f>
        <v>0.690069110525535</v>
      </c>
      <c r="J348" s="24" t="n">
        <f aca="false">IF(G348="Stage 1",D348,I348)</f>
        <v>0.690069110525535</v>
      </c>
      <c r="K348" s="25" t="n">
        <f aca="false">J348*'Cover &amp; Assumptions'!$D$11*E348*'Cover &amp; Assumptions'!$E$11*C348</f>
        <v>7389.66006339528</v>
      </c>
      <c r="L348" s="25" t="n">
        <f aca="false">J348*'Cover &amp; Assumptions'!$D$12*E348*'Cover &amp; Assumptions'!$E$12*C348</f>
        <v>9151.28181225422</v>
      </c>
      <c r="M348" s="25" t="n">
        <f aca="false">J348*'Cover &amp; Assumptions'!$D$13*E348*'Cover &amp; Assumptions'!$E$13*C348</f>
        <v>15923.2303533223</v>
      </c>
      <c r="N348" s="25" t="n">
        <f aca="false">K348*'Cover &amp; Assumptions'!$C$11+L348*'Cover &amp; Assumptions'!$C$12+M348*'Cover &amp; Assumptions'!$C$13</f>
        <v>10491.9445977495</v>
      </c>
    </row>
    <row r="349" customFormat="false" ht="15" hidden="false" customHeight="false" outlineLevel="0" collapsed="false">
      <c r="A349" s="17" t="str">
        <f aca="false">Portfolio!A349</f>
        <v>UKSME-108936</v>
      </c>
      <c r="B349" s="17" t="str">
        <f aca="false">Portfolio!B349</f>
        <v>Manufacturing</v>
      </c>
      <c r="C349" s="21" t="n">
        <f aca="false">Portfolio!D349</f>
        <v>65615</v>
      </c>
      <c r="D349" s="22" t="n">
        <f aca="false">Portfolio!G349</f>
        <v>0.153742439197985</v>
      </c>
      <c r="E349" s="23" t="n">
        <f aca="false">Portfolio!E349</f>
        <v>0.206</v>
      </c>
      <c r="F349" s="17" t="n">
        <f aca="false">Portfolio!F349</f>
        <v>0</v>
      </c>
      <c r="G349" s="16" t="str">
        <f aca="false">IF(OR(F349&gt;='Cover &amp; Assumptions'!$C$22,Portfolio!I349=1),"Stage 3",IF(OR(F349&gt;=30,D349&gt;'Cover &amp; Assumptions'!$C$21),"Stage 2","Stage 1"))</f>
        <v>Stage 2</v>
      </c>
      <c r="H349" s="16" t="n">
        <f aca="false">IF(G349="Stage 1",12,MIN(Portfolio!H349,60))</f>
        <v>60</v>
      </c>
      <c r="I349" s="24" t="n">
        <f aca="false">1-(1-D349)^(H349/12)</f>
        <v>0.56597693519756</v>
      </c>
      <c r="J349" s="24" t="n">
        <f aca="false">IF(G349="Stage 1",D349,I349)</f>
        <v>0.56597693519756</v>
      </c>
      <c r="K349" s="25" t="n">
        <f aca="false">J349*'Cover &amp; Assumptions'!$D$11*E349*'Cover &amp; Assumptions'!$E$11*C349</f>
        <v>6177.48383502402</v>
      </c>
      <c r="L349" s="25" t="n">
        <f aca="false">J349*'Cover &amp; Assumptions'!$D$12*E349*'Cover &amp; Assumptions'!$E$12*C349</f>
        <v>7650.1347802155</v>
      </c>
      <c r="M349" s="25" t="n">
        <f aca="false">J349*'Cover &amp; Assumptions'!$D$13*E349*'Cover &amp; Assumptions'!$E$13*C349</f>
        <v>13311.234517575</v>
      </c>
      <c r="N349" s="25" t="n">
        <f aca="false">K349*'Cover &amp; Assumptions'!$C$11+L349*'Cover &amp; Assumptions'!$C$12+M349*'Cover &amp; Assumptions'!$C$13</f>
        <v>8770.87952551707</v>
      </c>
    </row>
    <row r="350" customFormat="false" ht="15" hidden="false" customHeight="false" outlineLevel="0" collapsed="false">
      <c r="A350" s="17" t="str">
        <f aca="false">Portfolio!A350</f>
        <v>UKSME-106994</v>
      </c>
      <c r="B350" s="17" t="str">
        <f aca="false">Portfolio!B350</f>
        <v>Healthcare</v>
      </c>
      <c r="C350" s="21" t="n">
        <f aca="false">Portfolio!D350</f>
        <v>36510</v>
      </c>
      <c r="D350" s="22" t="n">
        <f aca="false">Portfolio!G350</f>
        <v>0.108018325248377</v>
      </c>
      <c r="E350" s="23" t="n">
        <f aca="false">Portfolio!E350</f>
        <v>0.484</v>
      </c>
      <c r="F350" s="17" t="n">
        <f aca="false">Portfolio!F350</f>
        <v>0</v>
      </c>
      <c r="G350" s="16" t="str">
        <f aca="false">IF(OR(F350&gt;='Cover &amp; Assumptions'!$C$22,Portfolio!I350=1),"Stage 3",IF(OR(F350&gt;=30,D350&gt;'Cover &amp; Assumptions'!$C$21),"Stage 2","Stage 1"))</f>
        <v>Stage 3</v>
      </c>
      <c r="H350" s="16" t="n">
        <f aca="false">IF(G350="Stage 1",12,MIN(Portfolio!H350,60))</f>
        <v>24</v>
      </c>
      <c r="I350" s="24" t="n">
        <f aca="false">1-(1-D350)^(H350/12)</f>
        <v>0.204368691907289</v>
      </c>
      <c r="J350" s="24" t="n">
        <f aca="false">IF(G350="Stage 1",D350,I350)</f>
        <v>0.204368691907289</v>
      </c>
      <c r="K350" s="25" t="n">
        <f aca="false">J350*'Cover &amp; Assumptions'!$D$11*E350*'Cover &amp; Assumptions'!$E$11*C350</f>
        <v>2916.17841298018</v>
      </c>
      <c r="L350" s="25" t="n">
        <f aca="false">J350*'Cover &amp; Assumptions'!$D$12*E350*'Cover &amp; Assumptions'!$E$12*C350</f>
        <v>3611.36645570301</v>
      </c>
      <c r="M350" s="25" t="n">
        <f aca="false">J350*'Cover &amp; Assumptions'!$D$13*E350*'Cover &amp; Assumptions'!$E$13*C350</f>
        <v>6283.77763292323</v>
      </c>
      <c r="N350" s="25" t="n">
        <f aca="false">K350*'Cover &amp; Assumptions'!$C$11+L350*'Cover &amp; Assumptions'!$C$12+M350*'Cover &amp; Assumptions'!$C$13</f>
        <v>4140.4316414635</v>
      </c>
    </row>
    <row r="351" customFormat="false" ht="15" hidden="false" customHeight="false" outlineLevel="0" collapsed="false">
      <c r="A351" s="17" t="str">
        <f aca="false">Portfolio!A351</f>
        <v>UKSME-103600</v>
      </c>
      <c r="B351" s="17" t="str">
        <f aca="false">Portfolio!B351</f>
        <v>Hospitality</v>
      </c>
      <c r="C351" s="21" t="n">
        <f aca="false">Portfolio!D351</f>
        <v>107709</v>
      </c>
      <c r="D351" s="22" t="n">
        <f aca="false">Portfolio!G351</f>
        <v>0.147824279914363</v>
      </c>
      <c r="E351" s="23" t="n">
        <f aca="false">Portfolio!E351</f>
        <v>0.346</v>
      </c>
      <c r="F351" s="17" t="n">
        <f aca="false">Portfolio!F351</f>
        <v>0</v>
      </c>
      <c r="G351" s="16" t="str">
        <f aca="false">IF(OR(F351&gt;='Cover &amp; Assumptions'!$C$22,Portfolio!I351=1),"Stage 3",IF(OR(F351&gt;=30,D351&gt;'Cover &amp; Assumptions'!$C$21),"Stage 2","Stage 1"))</f>
        <v>Stage 1</v>
      </c>
      <c r="H351" s="16" t="n">
        <f aca="false">IF(G351="Stage 1",12,MIN(Portfolio!H351,60))</f>
        <v>12</v>
      </c>
      <c r="I351" s="24" t="n">
        <f aca="false">1-(1-D351)^(H351/12)</f>
        <v>0.147824279914363</v>
      </c>
      <c r="J351" s="24" t="n">
        <f aca="false">IF(G351="Stage 1",D351,I351)</f>
        <v>0.147824279914363</v>
      </c>
      <c r="K351" s="25" t="n">
        <f aca="false">J351*'Cover &amp; Assumptions'!$D$11*E351*'Cover &amp; Assumptions'!$E$11*C351</f>
        <v>4448.52868903692</v>
      </c>
      <c r="L351" s="25" t="n">
        <f aca="false">J351*'Cover &amp; Assumptions'!$D$12*E351*'Cover &amp; Assumptions'!$E$12*C351</f>
        <v>5509.01385639247</v>
      </c>
      <c r="M351" s="25" t="n">
        <f aca="false">J351*'Cover &amp; Assumptions'!$D$13*E351*'Cover &amp; Assumptions'!$E$13*C351</f>
        <v>9585.6841101229</v>
      </c>
      <c r="N351" s="25" t="n">
        <f aca="false">K351*'Cover &amp; Assumptions'!$C$11+L351*'Cover &amp; Assumptions'!$C$12+M351*'Cover &amp; Assumptions'!$C$13</f>
        <v>6316.08438635397</v>
      </c>
    </row>
    <row r="352" customFormat="false" ht="15" hidden="false" customHeight="false" outlineLevel="0" collapsed="false">
      <c r="A352" s="17" t="str">
        <f aca="false">Portfolio!A352</f>
        <v>UKSME-105011</v>
      </c>
      <c r="B352" s="17" t="str">
        <f aca="false">Portfolio!B352</f>
        <v>Healthcare</v>
      </c>
      <c r="C352" s="21" t="n">
        <f aca="false">Portfolio!D352</f>
        <v>41388</v>
      </c>
      <c r="D352" s="22" t="n">
        <f aca="false">Portfolio!G352</f>
        <v>0.205430941336223</v>
      </c>
      <c r="E352" s="23" t="n">
        <f aca="false">Portfolio!E352</f>
        <v>0.407</v>
      </c>
      <c r="F352" s="17" t="n">
        <f aca="false">Portfolio!F352</f>
        <v>0</v>
      </c>
      <c r="G352" s="16" t="str">
        <f aca="false">IF(OR(F352&gt;='Cover &amp; Assumptions'!$C$22,Portfolio!I352=1),"Stage 3",IF(OR(F352&gt;=30,D352&gt;'Cover &amp; Assumptions'!$C$21),"Stage 2","Stage 1"))</f>
        <v>Stage 2</v>
      </c>
      <c r="H352" s="16" t="n">
        <f aca="false">IF(G352="Stage 1",12,MIN(Portfolio!H352,60))</f>
        <v>48</v>
      </c>
      <c r="I352" s="24" t="n">
        <f aca="false">1-(1-D352)^(H352/12)</f>
        <v>0.601409818307358</v>
      </c>
      <c r="J352" s="24" t="n">
        <f aca="false">IF(G352="Stage 1",D352,I352)</f>
        <v>0.601409818307358</v>
      </c>
      <c r="K352" s="25" t="n">
        <f aca="false">J352*'Cover &amp; Assumptions'!$D$11*E352*'Cover &amp; Assumptions'!$E$11*C352</f>
        <v>8180.53853080238</v>
      </c>
      <c r="L352" s="25" t="n">
        <f aca="false">J352*'Cover &amp; Assumptions'!$D$12*E352*'Cover &amp; Assumptions'!$E$12*C352</f>
        <v>10130.6978709627</v>
      </c>
      <c r="M352" s="25" t="n">
        <f aca="false">J352*'Cover &amp; Assumptions'!$D$13*E352*'Cover &amp; Assumptions'!$E$13*C352</f>
        <v>17627.4142954751</v>
      </c>
      <c r="N352" s="25" t="n">
        <f aca="false">K352*'Cover &amp; Assumptions'!$C$11+L352*'Cover &amp; Assumptions'!$C$12+M352*'Cover &amp; Assumptions'!$C$13</f>
        <v>11614.8451090587</v>
      </c>
    </row>
    <row r="353" customFormat="false" ht="15" hidden="false" customHeight="false" outlineLevel="0" collapsed="false">
      <c r="A353" s="17" t="str">
        <f aca="false">Portfolio!A353</f>
        <v>UKSME-104821</v>
      </c>
      <c r="B353" s="17" t="str">
        <f aca="false">Portfolio!B353</f>
        <v>Technology</v>
      </c>
      <c r="C353" s="21" t="n">
        <f aca="false">Portfolio!D353</f>
        <v>16364</v>
      </c>
      <c r="D353" s="22" t="n">
        <f aca="false">Portfolio!G353</f>
        <v>0.157624502324741</v>
      </c>
      <c r="E353" s="23" t="n">
        <f aca="false">Portfolio!E353</f>
        <v>0.197</v>
      </c>
      <c r="F353" s="17" t="n">
        <f aca="false">Portfolio!F353</f>
        <v>0</v>
      </c>
      <c r="G353" s="16" t="str">
        <f aca="false">IF(OR(F353&gt;='Cover &amp; Assumptions'!$C$22,Portfolio!I353=1),"Stage 3",IF(OR(F353&gt;=30,D353&gt;'Cover &amp; Assumptions'!$C$21),"Stage 2","Stage 1"))</f>
        <v>Stage 2</v>
      </c>
      <c r="H353" s="16" t="n">
        <f aca="false">IF(G353="Stage 1",12,MIN(Portfolio!H353,60))</f>
        <v>60</v>
      </c>
      <c r="I353" s="24" t="n">
        <f aca="false">1-(1-D353)^(H353/12)</f>
        <v>0.575841055367124</v>
      </c>
      <c r="J353" s="24" t="n">
        <f aca="false">IF(G353="Stage 1",D353,I353)</f>
        <v>0.575841055367124</v>
      </c>
      <c r="K353" s="25" t="n">
        <f aca="false">J353*'Cover &amp; Assumptions'!$D$11*E353*'Cover &amp; Assumptions'!$E$11*C353</f>
        <v>1498.99730915922</v>
      </c>
      <c r="L353" s="25" t="n">
        <f aca="false">J353*'Cover &amp; Assumptions'!$D$12*E353*'Cover &amp; Assumptions'!$E$12*C353</f>
        <v>1856.34341691544</v>
      </c>
      <c r="M353" s="25" t="n">
        <f aca="false">J353*'Cover &amp; Assumptions'!$D$13*E353*'Cover &amp; Assumptions'!$E$13*C353</f>
        <v>3230.03754543287</v>
      </c>
      <c r="N353" s="25" t="n">
        <f aca="false">K353*'Cover &amp; Assumptions'!$C$11+L353*'Cover &amp; Assumptions'!$C$12+M353*'Cover &amp; Assumptions'!$C$13</f>
        <v>2128.29772749355</v>
      </c>
    </row>
    <row r="354" customFormat="false" ht="15" hidden="false" customHeight="false" outlineLevel="0" collapsed="false">
      <c r="A354" s="17" t="str">
        <f aca="false">Portfolio!A354</f>
        <v>UKSME-104655</v>
      </c>
      <c r="B354" s="17" t="str">
        <f aca="false">Portfolio!B354</f>
        <v>Manufacturing</v>
      </c>
      <c r="C354" s="21" t="n">
        <f aca="false">Portfolio!D354</f>
        <v>574827</v>
      </c>
      <c r="D354" s="22" t="n">
        <f aca="false">Portfolio!G354</f>
        <v>0.228157009892663</v>
      </c>
      <c r="E354" s="23" t="n">
        <f aca="false">Portfolio!E354</f>
        <v>0.306</v>
      </c>
      <c r="F354" s="17" t="n">
        <f aca="false">Portfolio!F354</f>
        <v>0</v>
      </c>
      <c r="G354" s="16" t="str">
        <f aca="false">IF(OR(F354&gt;='Cover &amp; Assumptions'!$C$22,Portfolio!I354=1),"Stage 3",IF(OR(F354&gt;=30,D354&gt;'Cover &amp; Assumptions'!$C$21),"Stage 2","Stage 1"))</f>
        <v>Stage 2</v>
      </c>
      <c r="H354" s="16" t="n">
        <f aca="false">IF(G354="Stage 1",12,MIN(Portfolio!H354,60))</f>
        <v>60</v>
      </c>
      <c r="I354" s="24" t="n">
        <f aca="false">1-(1-D354)^(H354/12)</f>
        <v>0.726066705143078</v>
      </c>
      <c r="J354" s="24" t="n">
        <f aca="false">IF(G354="Stage 1",D354,I354)</f>
        <v>0.726066705143078</v>
      </c>
      <c r="K354" s="25" t="n">
        <f aca="false">J354*'Cover &amp; Assumptions'!$D$11*E354*'Cover &amp; Assumptions'!$E$11*C354</f>
        <v>103128.24770243</v>
      </c>
      <c r="L354" s="25" t="n">
        <f aca="false">J354*'Cover &amp; Assumptions'!$D$12*E354*'Cover &amp; Assumptions'!$E$12*C354</f>
        <v>127713.000250688</v>
      </c>
      <c r="M354" s="25" t="n">
        <f aca="false">J354*'Cover &amp; Assumptions'!$D$13*E354*'Cover &amp; Assumptions'!$E$13*C354</f>
        <v>222220.620436197</v>
      </c>
      <c r="N354" s="25" t="n">
        <f aca="false">K354*'Cover &amp; Assumptions'!$C$11+L354*'Cover &amp; Assumptions'!$C$12+M354*'Cover &amp; Assumptions'!$C$13</f>
        <v>146422.954787414</v>
      </c>
    </row>
    <row r="355" customFormat="false" ht="15" hidden="false" customHeight="false" outlineLevel="0" collapsed="false">
      <c r="A355" s="17" t="str">
        <f aca="false">Portfolio!A355</f>
        <v>UKSME-104607</v>
      </c>
      <c r="B355" s="17" t="str">
        <f aca="false">Portfolio!B355</f>
        <v>Manufacturing</v>
      </c>
      <c r="C355" s="21" t="n">
        <f aca="false">Portfolio!D355</f>
        <v>63166</v>
      </c>
      <c r="D355" s="22" t="n">
        <f aca="false">Portfolio!G355</f>
        <v>0.155153652281508</v>
      </c>
      <c r="E355" s="23" t="n">
        <f aca="false">Portfolio!E355</f>
        <v>0.119</v>
      </c>
      <c r="F355" s="17" t="n">
        <f aca="false">Portfolio!F355</f>
        <v>0</v>
      </c>
      <c r="G355" s="16" t="str">
        <f aca="false">IF(OR(F355&gt;='Cover &amp; Assumptions'!$C$22,Portfolio!I355=1),"Stage 3",IF(OR(F355&gt;=30,D355&gt;'Cover &amp; Assumptions'!$C$21),"Stage 2","Stage 1"))</f>
        <v>Stage 2</v>
      </c>
      <c r="H355" s="16" t="n">
        <f aca="false">IF(G355="Stage 1",12,MIN(Portfolio!H355,60))</f>
        <v>60</v>
      </c>
      <c r="I355" s="24" t="n">
        <f aca="false">1-(1-D355)^(H355/12)</f>
        <v>0.569583754572395</v>
      </c>
      <c r="J355" s="24" t="n">
        <f aca="false">IF(G355="Stage 1",D355,I355)</f>
        <v>0.569583754572395</v>
      </c>
      <c r="K355" s="25" t="n">
        <f aca="false">J355*'Cover &amp; Assumptions'!$D$11*E355*'Cover &amp; Assumptions'!$E$11*C355</f>
        <v>3457.24742965503</v>
      </c>
      <c r="L355" s="25" t="n">
        <f aca="false">J355*'Cover &amp; Assumptions'!$D$12*E355*'Cover &amp; Assumptions'!$E$12*C355</f>
        <v>4281.42096551707</v>
      </c>
      <c r="M355" s="25" t="n">
        <f aca="false">J355*'Cover &amp; Assumptions'!$D$13*E355*'Cover &amp; Assumptions'!$E$13*C355</f>
        <v>7449.6724799997</v>
      </c>
      <c r="N355" s="25" t="n">
        <f aca="false">K355*'Cover &amp; Assumptions'!$C$11+L355*'Cover &amp; Assumptions'!$C$12+M355*'Cover &amp; Assumptions'!$C$13</f>
        <v>4908.64913696532</v>
      </c>
    </row>
    <row r="356" customFormat="false" ht="15" hidden="false" customHeight="false" outlineLevel="0" collapsed="false">
      <c r="A356" s="17" t="str">
        <f aca="false">Portfolio!A356</f>
        <v>UKSME-109084</v>
      </c>
      <c r="B356" s="17" t="str">
        <f aca="false">Portfolio!B356</f>
        <v>Retail</v>
      </c>
      <c r="C356" s="21" t="n">
        <f aca="false">Portfolio!D356</f>
        <v>128841</v>
      </c>
      <c r="D356" s="22" t="n">
        <f aca="false">Portfolio!G356</f>
        <v>0.1568481244176</v>
      </c>
      <c r="E356" s="23" t="n">
        <f aca="false">Portfolio!E356</f>
        <v>0.361</v>
      </c>
      <c r="F356" s="17" t="n">
        <f aca="false">Portfolio!F356</f>
        <v>0</v>
      </c>
      <c r="G356" s="16" t="str">
        <f aca="false">IF(OR(F356&gt;='Cover &amp; Assumptions'!$C$22,Portfolio!I356=1),"Stage 3",IF(OR(F356&gt;=30,D356&gt;'Cover &amp; Assumptions'!$C$21),"Stage 2","Stage 1"))</f>
        <v>Stage 2</v>
      </c>
      <c r="H356" s="16" t="n">
        <f aca="false">IF(G356="Stage 1",12,MIN(Portfolio!H356,60))</f>
        <v>24</v>
      </c>
      <c r="I356" s="24" t="n">
        <f aca="false">1-(1-D356)^(H356/12)</f>
        <v>0.28909491470188</v>
      </c>
      <c r="J356" s="24" t="n">
        <f aca="false">IF(G356="Stage 1",D356,I356)</f>
        <v>0.28909491470188</v>
      </c>
      <c r="K356" s="25" t="n">
        <f aca="false">J356*'Cover &amp; Assumptions'!$D$11*E356*'Cover &amp; Assumptions'!$E$11*C356</f>
        <v>10857.8608639224</v>
      </c>
      <c r="L356" s="25" t="n">
        <f aca="false">J356*'Cover &amp; Assumptions'!$D$12*E356*'Cover &amp; Assumptions'!$E$12*C356</f>
        <v>13446.2673237429</v>
      </c>
      <c r="M356" s="25" t="n">
        <f aca="false">J356*'Cover &amp; Assumptions'!$D$13*E356*'Cover &amp; Assumptions'!$E$13*C356</f>
        <v>23396.5051433126</v>
      </c>
      <c r="N356" s="25" t="n">
        <f aca="false">K356*'Cover &amp; Assumptions'!$C$11+L356*'Cover &amp; Assumptions'!$C$12+M356*'Cover &amp; Assumptions'!$C$13</f>
        <v>15416.1454866712</v>
      </c>
    </row>
    <row r="357" customFormat="false" ht="15" hidden="false" customHeight="false" outlineLevel="0" collapsed="false">
      <c r="A357" s="17" t="str">
        <f aca="false">Portfolio!A357</f>
        <v>UKSME-108223</v>
      </c>
      <c r="B357" s="17" t="str">
        <f aca="false">Portfolio!B357</f>
        <v>Technology</v>
      </c>
      <c r="C357" s="21" t="n">
        <f aca="false">Portfolio!D357</f>
        <v>97307</v>
      </c>
      <c r="D357" s="22" t="n">
        <f aca="false">Portfolio!G357</f>
        <v>0.163541178279196</v>
      </c>
      <c r="E357" s="23" t="n">
        <f aca="false">Portfolio!E357</f>
        <v>0.687</v>
      </c>
      <c r="F357" s="17" t="n">
        <f aca="false">Portfolio!F357</f>
        <v>0</v>
      </c>
      <c r="G357" s="16" t="str">
        <f aca="false">IF(OR(F357&gt;='Cover &amp; Assumptions'!$C$22,Portfolio!I357=1),"Stage 3",IF(OR(F357&gt;=30,D357&gt;'Cover &amp; Assumptions'!$C$21),"Stage 2","Stage 1"))</f>
        <v>Stage 3</v>
      </c>
      <c r="H357" s="16" t="n">
        <f aca="false">IF(G357="Stage 1",12,MIN(Portfolio!H357,60))</f>
        <v>36</v>
      </c>
      <c r="I357" s="24" t="n">
        <f aca="false">1-(1-D357)^(H357/12)</f>
        <v>0.414760409929694</v>
      </c>
      <c r="J357" s="24" t="n">
        <f aca="false">IF(G357="Stage 1",D357,I357)</f>
        <v>0.414760409929694</v>
      </c>
      <c r="K357" s="25" t="n">
        <f aca="false">J357*'Cover &amp; Assumptions'!$D$11*E357*'Cover &amp; Assumptions'!$E$11*C357</f>
        <v>22389.3067459367</v>
      </c>
      <c r="L357" s="25" t="n">
        <f aca="false">J357*'Cover &amp; Assumptions'!$D$12*E357*'Cover &amp; Assumptions'!$E$12*C357</f>
        <v>27726.6956606027</v>
      </c>
      <c r="M357" s="25" t="n">
        <f aca="false">J357*'Cover &amp; Assumptions'!$D$13*E357*'Cover &amp; Assumptions'!$E$13*C357</f>
        <v>48244.4504494487</v>
      </c>
      <c r="N357" s="25" t="n">
        <f aca="false">K357*'Cover &amp; Assumptions'!$C$11+L357*'Cover &amp; Assumptions'!$C$12+M357*'Cover &amp; Assumptions'!$C$13</f>
        <v>31788.656574881</v>
      </c>
    </row>
    <row r="358" customFormat="false" ht="15" hidden="false" customHeight="false" outlineLevel="0" collapsed="false">
      <c r="A358" s="17" t="str">
        <f aca="false">Portfolio!A358</f>
        <v>UKSME-108785</v>
      </c>
      <c r="B358" s="17" t="str">
        <f aca="false">Portfolio!B358</f>
        <v>Hospitality</v>
      </c>
      <c r="C358" s="21" t="n">
        <f aca="false">Portfolio!D358</f>
        <v>112633</v>
      </c>
      <c r="D358" s="22" t="n">
        <f aca="false">Portfolio!G358</f>
        <v>0.102959560261585</v>
      </c>
      <c r="E358" s="23" t="n">
        <f aca="false">Portfolio!E358</f>
        <v>0.224</v>
      </c>
      <c r="F358" s="17" t="n">
        <f aca="false">Portfolio!F358</f>
        <v>0</v>
      </c>
      <c r="G358" s="16" t="str">
        <f aca="false">IF(OR(F358&gt;='Cover &amp; Assumptions'!$C$22,Portfolio!I358=1),"Stage 3",IF(OR(F358&gt;=30,D358&gt;'Cover &amp; Assumptions'!$C$21),"Stage 2","Stage 1"))</f>
        <v>Stage 1</v>
      </c>
      <c r="H358" s="16" t="n">
        <f aca="false">IF(G358="Stage 1",12,MIN(Portfolio!H358,60))</f>
        <v>12</v>
      </c>
      <c r="I358" s="24" t="n">
        <f aca="false">1-(1-D358)^(H358/12)</f>
        <v>0.102959560261585</v>
      </c>
      <c r="J358" s="24" t="n">
        <f aca="false">IF(G358="Stage 1",D358,I358)</f>
        <v>0.102959560261585</v>
      </c>
      <c r="K358" s="25" t="n">
        <f aca="false">J358*'Cover &amp; Assumptions'!$D$11*E358*'Cover &amp; Assumptions'!$E$11*C358</f>
        <v>2097.60099402259</v>
      </c>
      <c r="L358" s="25" t="n">
        <f aca="false">J358*'Cover &amp; Assumptions'!$D$12*E358*'Cover &amp; Assumptions'!$E$12*C358</f>
        <v>2597.64828981126</v>
      </c>
      <c r="M358" s="25" t="n">
        <f aca="false">J358*'Cover &amp; Assumptions'!$D$13*E358*'Cover &amp; Assumptions'!$E$13*C358</f>
        <v>4519.90802427159</v>
      </c>
      <c r="N358" s="25" t="n">
        <f aca="false">K358*'Cover &amp; Assumptions'!$C$11+L358*'Cover &amp; Assumptions'!$C$12+M358*'Cover &amp; Assumptions'!$C$13</f>
        <v>2978.20376426861</v>
      </c>
    </row>
    <row r="359" customFormat="false" ht="15" hidden="false" customHeight="false" outlineLevel="0" collapsed="false">
      <c r="A359" s="17" t="str">
        <f aca="false">Portfolio!A359</f>
        <v>UKSME-106793</v>
      </c>
      <c r="B359" s="17" t="str">
        <f aca="false">Portfolio!B359</f>
        <v>Wholesale</v>
      </c>
      <c r="C359" s="21" t="n">
        <f aca="false">Portfolio!D359</f>
        <v>22828</v>
      </c>
      <c r="D359" s="22" t="n">
        <f aca="false">Portfolio!G359</f>
        <v>0.210241709607988</v>
      </c>
      <c r="E359" s="23" t="n">
        <f aca="false">Portfolio!E359</f>
        <v>0.634</v>
      </c>
      <c r="F359" s="17" t="n">
        <f aca="false">Portfolio!F359</f>
        <v>0</v>
      </c>
      <c r="G359" s="16" t="str">
        <f aca="false">IF(OR(F359&gt;='Cover &amp; Assumptions'!$C$22,Portfolio!I359=1),"Stage 3",IF(OR(F359&gt;=30,D359&gt;'Cover &amp; Assumptions'!$C$21),"Stage 2","Stage 1"))</f>
        <v>Stage 2</v>
      </c>
      <c r="H359" s="16" t="n">
        <f aca="false">IF(G359="Stage 1",12,MIN(Portfolio!H359,60))</f>
        <v>60</v>
      </c>
      <c r="I359" s="24" t="n">
        <f aca="false">1-(1-D359)^(H359/12)</f>
        <v>0.692764802577789</v>
      </c>
      <c r="J359" s="24" t="n">
        <f aca="false">IF(G359="Stage 1",D359,I359)</f>
        <v>0.692764802577789</v>
      </c>
      <c r="K359" s="25" t="n">
        <f aca="false">J359*'Cover &amp; Assumptions'!$D$11*E359*'Cover &amp; Assumptions'!$E$11*C359</f>
        <v>8096.27902601073</v>
      </c>
      <c r="L359" s="25" t="n">
        <f aca="false">J359*'Cover &amp; Assumptions'!$D$12*E359*'Cover &amp; Assumptions'!$E$12*C359</f>
        <v>10026.3517349978</v>
      </c>
      <c r="M359" s="25" t="n">
        <f aca="false">J359*'Cover &amp; Assumptions'!$D$13*E359*'Cover &amp; Assumptions'!$E$13*C359</f>
        <v>17445.8520188962</v>
      </c>
      <c r="N359" s="25" t="n">
        <f aca="false">K359*'Cover &amp; Assumptions'!$C$11+L359*'Cover &amp; Assumptions'!$C$12+M359*'Cover &amp; Assumptions'!$C$13</f>
        <v>11495.212264175</v>
      </c>
    </row>
    <row r="360" customFormat="false" ht="15" hidden="false" customHeight="false" outlineLevel="0" collapsed="false">
      <c r="A360" s="17" t="str">
        <f aca="false">Portfolio!A360</f>
        <v>UKSME-101458</v>
      </c>
      <c r="B360" s="17" t="str">
        <f aca="false">Portfolio!B360</f>
        <v>Construction</v>
      </c>
      <c r="C360" s="21" t="n">
        <f aca="false">Portfolio!D360</f>
        <v>55567</v>
      </c>
      <c r="D360" s="22" t="n">
        <f aca="false">Portfolio!G360</f>
        <v>0.189870258256289</v>
      </c>
      <c r="E360" s="23" t="n">
        <f aca="false">Portfolio!E360</f>
        <v>0.159</v>
      </c>
      <c r="F360" s="17" t="n">
        <f aca="false">Portfolio!F360</f>
        <v>0</v>
      </c>
      <c r="G360" s="16" t="str">
        <f aca="false">IF(OR(F360&gt;='Cover &amp; Assumptions'!$C$22,Portfolio!I360=1),"Stage 3",IF(OR(F360&gt;=30,D360&gt;'Cover &amp; Assumptions'!$C$21),"Stage 2","Stage 1"))</f>
        <v>Stage 3</v>
      </c>
      <c r="H360" s="16" t="n">
        <f aca="false">IF(G360="Stage 1",12,MIN(Portfolio!H360,60))</f>
        <v>60</v>
      </c>
      <c r="I360" s="24" t="n">
        <f aca="false">1-(1-D360)^(H360/12)</f>
        <v>0.651042222596453</v>
      </c>
      <c r="J360" s="24" t="n">
        <f aca="false">IF(G360="Stage 1",D360,I360)</f>
        <v>0.651042222596453</v>
      </c>
      <c r="K360" s="25" t="n">
        <f aca="false">J360*'Cover &amp; Assumptions'!$D$11*E360*'Cover &amp; Assumptions'!$E$11*C360</f>
        <v>4644.78654922552</v>
      </c>
      <c r="L360" s="25" t="n">
        <f aca="false">J360*'Cover &amp; Assumptions'!$D$12*E360*'Cover &amp; Assumptions'!$E$12*C360</f>
        <v>5752.05764609972</v>
      </c>
      <c r="M360" s="25" t="n">
        <f aca="false">J360*'Cover &amp; Assumptions'!$D$13*E360*'Cover &amp; Assumptions'!$E$13*C360</f>
        <v>10008.5803042135</v>
      </c>
      <c r="N360" s="25" t="n">
        <f aca="false">K360*'Cover &amp; Assumptions'!$C$11+L360*'Cover &amp; Assumptions'!$C$12+M360*'Cover &amp; Assumptions'!$C$13</f>
        <v>6594.73409125332</v>
      </c>
    </row>
    <row r="361" customFormat="false" ht="15" hidden="false" customHeight="false" outlineLevel="0" collapsed="false">
      <c r="A361" s="17" t="str">
        <f aca="false">Portfolio!A361</f>
        <v>UKSME-105991</v>
      </c>
      <c r="B361" s="17" t="str">
        <f aca="false">Portfolio!B361</f>
        <v>Construction</v>
      </c>
      <c r="C361" s="21" t="n">
        <f aca="false">Portfolio!D361</f>
        <v>105367</v>
      </c>
      <c r="D361" s="22" t="n">
        <f aca="false">Portfolio!G361</f>
        <v>0.139714808512441</v>
      </c>
      <c r="E361" s="23" t="n">
        <f aca="false">Portfolio!E361</f>
        <v>0.549</v>
      </c>
      <c r="F361" s="17" t="n">
        <f aca="false">Portfolio!F361</f>
        <v>0</v>
      </c>
      <c r="G361" s="16" t="str">
        <f aca="false">IF(OR(F361&gt;='Cover &amp; Assumptions'!$C$22,Portfolio!I361=1),"Stage 3",IF(OR(F361&gt;=30,D361&gt;'Cover &amp; Assumptions'!$C$21),"Stage 2","Stage 1"))</f>
        <v>Stage 3</v>
      </c>
      <c r="H361" s="16" t="n">
        <f aca="false">IF(G361="Stage 1",12,MIN(Portfolio!H361,60))</f>
        <v>60</v>
      </c>
      <c r="I361" s="24" t="n">
        <f aca="false">1-(1-D361)^(H361/12)</f>
        <v>0.528792454543169</v>
      </c>
      <c r="J361" s="24" t="n">
        <f aca="false">IF(G361="Stage 1",D361,I361)</f>
        <v>0.528792454543169</v>
      </c>
      <c r="K361" s="25" t="n">
        <f aca="false">J361*'Cover &amp; Assumptions'!$D$11*E361*'Cover &amp; Assumptions'!$E$11*C361</f>
        <v>24700.4428637997</v>
      </c>
      <c r="L361" s="25" t="n">
        <f aca="false">J361*'Cover &amp; Assumptions'!$D$12*E361*'Cover &amp; Assumptions'!$E$12*C361</f>
        <v>30588.7837322597</v>
      </c>
      <c r="M361" s="25" t="n">
        <f aca="false">J361*'Cover &amp; Assumptions'!$D$13*E361*'Cover &amp; Assumptions'!$E$13*C361</f>
        <v>53224.4836941318</v>
      </c>
      <c r="N361" s="25" t="n">
        <f aca="false">K361*'Cover &amp; Assumptions'!$C$11+L361*'Cover &amp; Assumptions'!$C$12+M361*'Cover &amp; Assumptions'!$C$13</f>
        <v>35070.0405490357</v>
      </c>
    </row>
    <row r="362" customFormat="false" ht="15" hidden="false" customHeight="false" outlineLevel="0" collapsed="false">
      <c r="A362" s="17" t="str">
        <f aca="false">Portfolio!A362</f>
        <v>UKSME-105014</v>
      </c>
      <c r="B362" s="17" t="str">
        <f aca="false">Portfolio!B362</f>
        <v>Construction</v>
      </c>
      <c r="C362" s="21" t="n">
        <f aca="false">Portfolio!D362</f>
        <v>31283</v>
      </c>
      <c r="D362" s="22" t="n">
        <f aca="false">Portfolio!G362</f>
        <v>0.183237118547661</v>
      </c>
      <c r="E362" s="23" t="n">
        <f aca="false">Portfolio!E362</f>
        <v>0.253</v>
      </c>
      <c r="F362" s="17" t="n">
        <f aca="false">Portfolio!F362</f>
        <v>0</v>
      </c>
      <c r="G362" s="16" t="str">
        <f aca="false">IF(OR(F362&gt;='Cover &amp; Assumptions'!$C$22,Portfolio!I362=1),"Stage 3",IF(OR(F362&gt;=30,D362&gt;'Cover &amp; Assumptions'!$C$21),"Stage 2","Stage 1"))</f>
        <v>Stage 2</v>
      </c>
      <c r="H362" s="16" t="n">
        <f aca="false">IF(G362="Stage 1",12,MIN(Portfolio!H362,60))</f>
        <v>48</v>
      </c>
      <c r="I362" s="24" t="n">
        <f aca="false">1-(1-D362)^(H362/12)</f>
        <v>0.554975449249074</v>
      </c>
      <c r="J362" s="24" t="n">
        <f aca="false">IF(G362="Stage 1",D362,I362)</f>
        <v>0.554975449249074</v>
      </c>
      <c r="K362" s="25" t="n">
        <f aca="false">J362*'Cover &amp; Assumptions'!$D$11*E362*'Cover &amp; Assumptions'!$E$11*C362</f>
        <v>3546.8695695384</v>
      </c>
      <c r="L362" s="25" t="n">
        <f aca="false">J362*'Cover &amp; Assumptions'!$D$12*E362*'Cover &amp; Assumptions'!$E$12*C362</f>
        <v>4392.40813565127</v>
      </c>
      <c r="M362" s="25" t="n">
        <f aca="false">J362*'Cover &amp; Assumptions'!$D$13*E362*'Cover &amp; Assumptions'!$E$13*C362</f>
        <v>7642.79015603321</v>
      </c>
      <c r="N362" s="25" t="n">
        <f aca="false">K362*'Cover &amp; Assumptions'!$C$11+L362*'Cover &amp; Assumptions'!$C$12+M362*'Cover &amp; Assumptions'!$C$13</f>
        <v>5035.89592752418</v>
      </c>
    </row>
    <row r="363" customFormat="false" ht="15" hidden="false" customHeight="false" outlineLevel="0" collapsed="false">
      <c r="A363" s="17" t="str">
        <f aca="false">Portfolio!A363</f>
        <v>UKSME-101192</v>
      </c>
      <c r="B363" s="17" t="str">
        <f aca="false">Portfolio!B363</f>
        <v>Professional Services</v>
      </c>
      <c r="C363" s="21" t="n">
        <f aca="false">Portfolio!D363</f>
        <v>67713</v>
      </c>
      <c r="D363" s="22" t="n">
        <f aca="false">Portfolio!G363</f>
        <v>0.0963813547518835</v>
      </c>
      <c r="E363" s="23" t="n">
        <f aca="false">Portfolio!E363</f>
        <v>0.194</v>
      </c>
      <c r="F363" s="17" t="n">
        <f aca="false">Portfolio!F363</f>
        <v>0</v>
      </c>
      <c r="G363" s="16" t="str">
        <f aca="false">IF(OR(F363&gt;='Cover &amp; Assumptions'!$C$22,Portfolio!I363=1),"Stage 3",IF(OR(F363&gt;=30,D363&gt;'Cover &amp; Assumptions'!$C$21),"Stage 2","Stage 1"))</f>
        <v>Stage 1</v>
      </c>
      <c r="H363" s="16" t="n">
        <f aca="false">IF(G363="Stage 1",12,MIN(Portfolio!H363,60))</f>
        <v>12</v>
      </c>
      <c r="I363" s="24" t="n">
        <f aca="false">1-(1-D363)^(H363/12)</f>
        <v>0.0963813547518835</v>
      </c>
      <c r="J363" s="24" t="n">
        <f aca="false">IF(G363="Stage 1",D363,I363)</f>
        <v>0.0963813547518835</v>
      </c>
      <c r="K363" s="25" t="n">
        <f aca="false">J363*'Cover &amp; Assumptions'!$D$11*E363*'Cover &amp; Assumptions'!$E$11*C363</f>
        <v>1022.3729324847</v>
      </c>
      <c r="L363" s="25" t="n">
        <f aca="false">J363*'Cover &amp; Assumptions'!$D$12*E363*'Cover &amp; Assumptions'!$E$12*C363</f>
        <v>1266.09651081697</v>
      </c>
      <c r="M363" s="25" t="n">
        <f aca="false">J363*'Cover &amp; Assumptions'!$D$13*E363*'Cover &amp; Assumptions'!$E$13*C363</f>
        <v>2203.00792882153</v>
      </c>
      <c r="N363" s="25" t="n">
        <f aca="false">K363*'Cover &amp; Assumptions'!$C$11+L363*'Cover &amp; Assumptions'!$C$12+M363*'Cover &amp; Assumptions'!$C$13</f>
        <v>1451.57964965166</v>
      </c>
    </row>
    <row r="364" customFormat="false" ht="15" hidden="false" customHeight="false" outlineLevel="0" collapsed="false">
      <c r="A364" s="17" t="str">
        <f aca="false">Portfolio!A364</f>
        <v>UKSME-103725</v>
      </c>
      <c r="B364" s="17" t="str">
        <f aca="false">Portfolio!B364</f>
        <v>Professional Services</v>
      </c>
      <c r="C364" s="21" t="n">
        <f aca="false">Portfolio!D364</f>
        <v>62178</v>
      </c>
      <c r="D364" s="22" t="n">
        <f aca="false">Portfolio!G364</f>
        <v>0.450900154223794</v>
      </c>
      <c r="E364" s="23" t="n">
        <f aca="false">Portfolio!E364</f>
        <v>0.636</v>
      </c>
      <c r="F364" s="17" t="n">
        <f aca="false">Portfolio!F364</f>
        <v>95</v>
      </c>
      <c r="G364" s="16" t="str">
        <f aca="false">IF(OR(F364&gt;='Cover &amp; Assumptions'!$C$22,Portfolio!I364=1),"Stage 3",IF(OR(F364&gt;=30,D364&gt;'Cover &amp; Assumptions'!$C$21),"Stage 2","Stage 1"))</f>
        <v>Stage 3</v>
      </c>
      <c r="H364" s="16" t="n">
        <f aca="false">IF(G364="Stage 1",12,MIN(Portfolio!H364,60))</f>
        <v>60</v>
      </c>
      <c r="I364" s="24" t="n">
        <f aca="false">1-(1-D364)^(H364/12)</f>
        <v>0.950082065292358</v>
      </c>
      <c r="J364" s="24" t="n">
        <f aca="false">IF(G364="Stage 1",D364,I364)</f>
        <v>0.950082065292358</v>
      </c>
      <c r="K364" s="25" t="n">
        <f aca="false">J364*'Cover &amp; Assumptions'!$D$11*E364*'Cover &amp; Assumptions'!$E$11*C364</f>
        <v>30338.7382579126</v>
      </c>
      <c r="L364" s="25" t="n">
        <f aca="false">J364*'Cover &amp; Assumptions'!$D$12*E364*'Cover &amp; Assumptions'!$E$12*C364</f>
        <v>37571.1928890559</v>
      </c>
      <c r="M364" s="25" t="n">
        <f aca="false">J364*'Cover &amp; Assumptions'!$D$13*E364*'Cover &amp; Assumptions'!$E$13*C364</f>
        <v>65373.8756269572</v>
      </c>
      <c r="N364" s="25" t="n">
        <f aca="false">K364*'Cover &amp; Assumptions'!$C$11+L364*'Cover &amp; Assumptions'!$C$12+M364*'Cover &amp; Assumptions'!$C$13</f>
        <v>43075.3726473026</v>
      </c>
    </row>
    <row r="365" customFormat="false" ht="15" hidden="false" customHeight="false" outlineLevel="0" collapsed="false">
      <c r="A365" s="17" t="str">
        <f aca="false">Portfolio!A365</f>
        <v>UKSME-109107</v>
      </c>
      <c r="B365" s="17" t="str">
        <f aca="false">Portfolio!B365</f>
        <v>Professional Services</v>
      </c>
      <c r="C365" s="21" t="n">
        <f aca="false">Portfolio!D365</f>
        <v>97658</v>
      </c>
      <c r="D365" s="22" t="n">
        <f aca="false">Portfolio!G365</f>
        <v>0.271839951531381</v>
      </c>
      <c r="E365" s="23" t="n">
        <f aca="false">Portfolio!E365</f>
        <v>0.547</v>
      </c>
      <c r="F365" s="17" t="n">
        <f aca="false">Portfolio!F365</f>
        <v>35</v>
      </c>
      <c r="G365" s="16" t="str">
        <f aca="false">IF(OR(F365&gt;='Cover &amp; Assumptions'!$C$22,Portfolio!I365=1),"Stage 3",IF(OR(F365&gt;=30,D365&gt;'Cover &amp; Assumptions'!$C$21),"Stage 2","Stage 1"))</f>
        <v>Stage 2</v>
      </c>
      <c r="H365" s="16" t="n">
        <f aca="false">IF(G365="Stage 1",12,MIN(Portfolio!H365,60))</f>
        <v>60</v>
      </c>
      <c r="I365" s="24" t="n">
        <f aca="false">1-(1-D365)^(H365/12)</f>
        <v>0.795292273337723</v>
      </c>
      <c r="J365" s="24" t="n">
        <f aca="false">IF(G365="Stage 1",D365,I365)</f>
        <v>0.795292273337723</v>
      </c>
      <c r="K365" s="25" t="n">
        <f aca="false">J365*'Cover &amp; Assumptions'!$D$11*E365*'Cover &amp; Assumptions'!$E$11*C365</f>
        <v>34305.5547214732</v>
      </c>
      <c r="L365" s="25" t="n">
        <f aca="false">J365*'Cover &amp; Assumptions'!$D$12*E365*'Cover &amp; Assumptions'!$E$12*C365</f>
        <v>42483.6590977996</v>
      </c>
      <c r="M365" s="25" t="n">
        <f aca="false">J365*'Cover &amp; Assumptions'!$D$13*E365*'Cover &amp; Assumptions'!$E$13*C365</f>
        <v>73921.5668301713</v>
      </c>
      <c r="N365" s="25" t="n">
        <f aca="false">K365*'Cover &amp; Assumptions'!$C$11+L365*'Cover &amp; Assumptions'!$C$12+M365*'Cover &amp; Assumptions'!$C$13</f>
        <v>48707.5151556273</v>
      </c>
    </row>
    <row r="366" customFormat="false" ht="15" hidden="false" customHeight="false" outlineLevel="0" collapsed="false">
      <c r="A366" s="17" t="str">
        <f aca="false">Portfolio!A366</f>
        <v>UKSME-100420</v>
      </c>
      <c r="B366" s="17" t="str">
        <f aca="false">Portfolio!B366</f>
        <v>Healthcare</v>
      </c>
      <c r="C366" s="21" t="n">
        <f aca="false">Portfolio!D366</f>
        <v>52647</v>
      </c>
      <c r="D366" s="22" t="n">
        <f aca="false">Portfolio!G366</f>
        <v>0.205739370452014</v>
      </c>
      <c r="E366" s="23" t="n">
        <f aca="false">Portfolio!E366</f>
        <v>0.222</v>
      </c>
      <c r="F366" s="17" t="n">
        <f aca="false">Portfolio!F366</f>
        <v>0</v>
      </c>
      <c r="G366" s="16" t="str">
        <f aca="false">IF(OR(F366&gt;='Cover &amp; Assumptions'!$C$22,Portfolio!I366=1),"Stage 3",IF(OR(F366&gt;=30,D366&gt;'Cover &amp; Assumptions'!$C$21),"Stage 2","Stage 1"))</f>
        <v>Stage 2</v>
      </c>
      <c r="H366" s="16" t="n">
        <f aca="false">IF(G366="Stage 1",12,MIN(Portfolio!H366,60))</f>
        <v>60</v>
      </c>
      <c r="I366" s="24" t="n">
        <f aca="false">1-(1-D366)^(H366/12)</f>
        <v>0.6839067816058</v>
      </c>
      <c r="J366" s="24" t="n">
        <f aca="false">IF(G366="Stage 1",D366,I366)</f>
        <v>0.6839067816058</v>
      </c>
      <c r="K366" s="25" t="n">
        <f aca="false">J366*'Cover &amp; Assumptions'!$D$11*E366*'Cover &amp; Assumptions'!$E$11*C366</f>
        <v>6454.55111397266</v>
      </c>
      <c r="L366" s="25" t="n">
        <f aca="false">J366*'Cover &amp; Assumptions'!$D$12*E366*'Cover &amp; Assumptions'!$E$12*C366</f>
        <v>7993.25215352652</v>
      </c>
      <c r="M366" s="25" t="n">
        <f aca="false">J366*'Cover &amp; Assumptions'!$D$13*E366*'Cover &amp; Assumptions'!$E$13*C366</f>
        <v>13908.2587471361</v>
      </c>
      <c r="N366" s="25" t="n">
        <f aca="false">K366*'Cover &amp; Assumptions'!$C$11+L366*'Cover &amp; Assumptions'!$C$12+M366*'Cover &amp; Assumptions'!$C$13</f>
        <v>9164.26359401815</v>
      </c>
    </row>
    <row r="367" customFormat="false" ht="15" hidden="false" customHeight="false" outlineLevel="0" collapsed="false">
      <c r="A367" s="17" t="str">
        <f aca="false">Portfolio!A367</f>
        <v>UKSME-102028</v>
      </c>
      <c r="B367" s="17" t="str">
        <f aca="false">Portfolio!B367</f>
        <v>Retail</v>
      </c>
      <c r="C367" s="21" t="n">
        <f aca="false">Portfolio!D367</f>
        <v>138121</v>
      </c>
      <c r="D367" s="22" t="n">
        <f aca="false">Portfolio!G367</f>
        <v>0.32198604201111</v>
      </c>
      <c r="E367" s="23" t="n">
        <f aca="false">Portfolio!E367</f>
        <v>0.261</v>
      </c>
      <c r="F367" s="17" t="n">
        <f aca="false">Portfolio!F367</f>
        <v>0</v>
      </c>
      <c r="G367" s="16" t="str">
        <f aca="false">IF(OR(F367&gt;='Cover &amp; Assumptions'!$C$22,Portfolio!I367=1),"Stage 3",IF(OR(F367&gt;=30,D367&gt;'Cover &amp; Assumptions'!$C$21),"Stage 2","Stage 1"))</f>
        <v>Stage 3</v>
      </c>
      <c r="H367" s="16" t="n">
        <f aca="false">IF(G367="Stage 1",12,MIN(Portfolio!H367,60))</f>
        <v>60</v>
      </c>
      <c r="I367" s="24" t="n">
        <f aca="false">1-(1-D367)^(H367/12)</f>
        <v>0.856717492580533</v>
      </c>
      <c r="J367" s="24" t="n">
        <f aca="false">IF(G367="Stage 1",D367,I367)</f>
        <v>0.856717492580533</v>
      </c>
      <c r="K367" s="25" t="n">
        <f aca="false">J367*'Cover &amp; Assumptions'!$D$11*E367*'Cover &amp; Assumptions'!$E$11*C367</f>
        <v>24939.0776141408</v>
      </c>
      <c r="L367" s="25" t="n">
        <f aca="false">J367*'Cover &amp; Assumptions'!$D$12*E367*'Cover &amp; Assumptions'!$E$12*C367</f>
        <v>30884.3066428988</v>
      </c>
      <c r="M367" s="25" t="n">
        <f aca="false">J367*'Cover &amp; Assumptions'!$D$13*E367*'Cover &amp; Assumptions'!$E$13*C367</f>
        <v>53738.693558644</v>
      </c>
      <c r="N367" s="25" t="n">
        <f aca="false">K367*'Cover &amp; Assumptions'!$C$11+L367*'Cover &amp; Assumptions'!$C$12+M367*'Cover &amp; Assumptions'!$C$13</f>
        <v>35408.8575660835</v>
      </c>
    </row>
    <row r="368" customFormat="false" ht="15" hidden="false" customHeight="false" outlineLevel="0" collapsed="false">
      <c r="A368" s="17" t="str">
        <f aca="false">Portfolio!A368</f>
        <v>UKSME-108164</v>
      </c>
      <c r="B368" s="17" t="str">
        <f aca="false">Portfolio!B368</f>
        <v>Retail</v>
      </c>
      <c r="C368" s="21" t="n">
        <f aca="false">Portfolio!D368</f>
        <v>134424</v>
      </c>
      <c r="D368" s="22" t="n">
        <f aca="false">Portfolio!G368</f>
        <v>0.157594887345631</v>
      </c>
      <c r="E368" s="23" t="n">
        <f aca="false">Portfolio!E368</f>
        <v>0.319</v>
      </c>
      <c r="F368" s="17" t="n">
        <f aca="false">Portfolio!F368</f>
        <v>5</v>
      </c>
      <c r="G368" s="16" t="str">
        <f aca="false">IF(OR(F368&gt;='Cover &amp; Assumptions'!$C$22,Portfolio!I368=1),"Stage 3",IF(OR(F368&gt;=30,D368&gt;'Cover &amp; Assumptions'!$C$21),"Stage 2","Stage 1"))</f>
        <v>Stage 3</v>
      </c>
      <c r="H368" s="16" t="n">
        <f aca="false">IF(G368="Stage 1",12,MIN(Portfolio!H368,60))</f>
        <v>60</v>
      </c>
      <c r="I368" s="24" t="n">
        <f aca="false">1-(1-D368)^(H368/12)</f>
        <v>0.575766490392335</v>
      </c>
      <c r="J368" s="24" t="n">
        <f aca="false">IF(G368="Stage 1",D368,I368)</f>
        <v>0.575766490392335</v>
      </c>
      <c r="K368" s="25" t="n">
        <f aca="false">J368*'Cover &amp; Assumptions'!$D$11*E368*'Cover &amp; Assumptions'!$E$11*C368</f>
        <v>19936.8441436187</v>
      </c>
      <c r="L368" s="25" t="n">
        <f aca="false">J368*'Cover &amp; Assumptions'!$D$12*E368*'Cover &amp; Assumptions'!$E$12*C368</f>
        <v>24689.5902707352</v>
      </c>
      <c r="M368" s="25" t="n">
        <f aca="false">J368*'Cover &amp; Assumptions'!$D$13*E368*'Cover &amp; Assumptions'!$E$13*C368</f>
        <v>42959.8870710793</v>
      </c>
      <c r="N368" s="25" t="n">
        <f aca="false">K368*'Cover &amp; Assumptions'!$C$11+L368*'Cover &amp; Assumptions'!$C$12+M368*'Cover &amp; Assumptions'!$C$13</f>
        <v>28306.615245398</v>
      </c>
    </row>
    <row r="369" customFormat="false" ht="15" hidden="false" customHeight="false" outlineLevel="0" collapsed="false">
      <c r="A369" s="17" t="str">
        <f aca="false">Portfolio!A369</f>
        <v>UKSME-106750</v>
      </c>
      <c r="B369" s="17" t="str">
        <f aca="false">Portfolio!B369</f>
        <v>Hospitality</v>
      </c>
      <c r="C369" s="21" t="n">
        <f aca="false">Portfolio!D369</f>
        <v>33926</v>
      </c>
      <c r="D369" s="22" t="n">
        <f aca="false">Portfolio!G369</f>
        <v>0.236140033749279</v>
      </c>
      <c r="E369" s="23" t="n">
        <f aca="false">Portfolio!E369</f>
        <v>0.616</v>
      </c>
      <c r="F369" s="17" t="n">
        <f aca="false">Portfolio!F369</f>
        <v>0</v>
      </c>
      <c r="G369" s="16" t="str">
        <f aca="false">IF(OR(F369&gt;='Cover &amp; Assumptions'!$C$22,Portfolio!I369=1),"Stage 3",IF(OR(F369&gt;=30,D369&gt;'Cover &amp; Assumptions'!$C$21),"Stage 2","Stage 1"))</f>
        <v>Stage 2</v>
      </c>
      <c r="H369" s="16" t="n">
        <f aca="false">IF(G369="Stage 1",12,MIN(Portfolio!H369,60))</f>
        <v>48</v>
      </c>
      <c r="I369" s="24" t="n">
        <f aca="false">1-(1-D369)^(H369/12)</f>
        <v>0.659548699614402</v>
      </c>
      <c r="J369" s="24" t="n">
        <f aca="false">IF(G369="Stage 1",D369,I369)</f>
        <v>0.659548699614402</v>
      </c>
      <c r="K369" s="25" t="n">
        <f aca="false">J369*'Cover &amp; Assumptions'!$D$11*E369*'Cover &amp; Assumptions'!$E$11*C369</f>
        <v>11130.1949006667</v>
      </c>
      <c r="L369" s="25" t="n">
        <f aca="false">J369*'Cover &amp; Assumptions'!$D$12*E369*'Cover &amp; Assumptions'!$E$12*C369</f>
        <v>13783.5230968008</v>
      </c>
      <c r="M369" s="25" t="n">
        <f aca="false">J369*'Cover &amp; Assumptions'!$D$13*E369*'Cover &amp; Assumptions'!$E$13*C369</f>
        <v>23983.3301884334</v>
      </c>
      <c r="N369" s="25" t="n">
        <f aca="false">K369*'Cover &amp; Assumptions'!$C$11+L369*'Cover &amp; Assumptions'!$C$12+M369*'Cover &amp; Assumptions'!$C$13</f>
        <v>15802.8092304821</v>
      </c>
    </row>
    <row r="370" customFormat="false" ht="15" hidden="false" customHeight="false" outlineLevel="0" collapsed="false">
      <c r="A370" s="17" t="str">
        <f aca="false">Portfolio!A370</f>
        <v>UKSME-104929</v>
      </c>
      <c r="B370" s="17" t="str">
        <f aca="false">Portfolio!B370</f>
        <v>Transport</v>
      </c>
      <c r="C370" s="21" t="n">
        <f aca="false">Portfolio!D370</f>
        <v>575287</v>
      </c>
      <c r="D370" s="22" t="n">
        <f aca="false">Portfolio!G370</f>
        <v>0.131241565865112</v>
      </c>
      <c r="E370" s="23" t="n">
        <f aca="false">Portfolio!E370</f>
        <v>0.68</v>
      </c>
      <c r="F370" s="17" t="n">
        <f aca="false">Portfolio!F370</f>
        <v>0</v>
      </c>
      <c r="G370" s="16" t="str">
        <f aca="false">IF(OR(F370&gt;='Cover &amp; Assumptions'!$C$22,Portfolio!I370=1),"Stage 3",IF(OR(F370&gt;=30,D370&gt;'Cover &amp; Assumptions'!$C$21),"Stage 2","Stage 1"))</f>
        <v>Stage 1</v>
      </c>
      <c r="H370" s="16" t="n">
        <f aca="false">IF(G370="Stage 1",12,MIN(Portfolio!H370,60))</f>
        <v>12</v>
      </c>
      <c r="I370" s="24" t="n">
        <f aca="false">1-(1-D370)^(H370/12)</f>
        <v>0.131241565865112</v>
      </c>
      <c r="J370" s="24" t="n">
        <f aca="false">IF(G370="Stage 1",D370,I370)</f>
        <v>0.131241565865112</v>
      </c>
      <c r="K370" s="25" t="n">
        <f aca="false">J370*'Cover &amp; Assumptions'!$D$11*E370*'Cover &amp; Assumptions'!$E$11*C370</f>
        <v>41457.9102759819</v>
      </c>
      <c r="L370" s="25" t="n">
        <f aca="false">J370*'Cover &amp; Assumptions'!$D$12*E370*'Cover &amp; Assumptions'!$E$12*C370</f>
        <v>51341.0653572531</v>
      </c>
      <c r="M370" s="25" t="n">
        <f aca="false">J370*'Cover &amp; Assumptions'!$D$13*E370*'Cover &amp; Assumptions'!$E$13*C370</f>
        <v>89333.4537216205</v>
      </c>
      <c r="N370" s="25" t="n">
        <f aca="false">K370*'Cover &amp; Assumptions'!$C$11+L370*'Cover &amp; Assumptions'!$C$12+M370*'Cover &amp; Assumptions'!$C$13</f>
        <v>58862.5314320907</v>
      </c>
    </row>
    <row r="371" customFormat="false" ht="15" hidden="false" customHeight="false" outlineLevel="0" collapsed="false">
      <c r="A371" s="17" t="str">
        <f aca="false">Portfolio!A371</f>
        <v>UKSME-107036</v>
      </c>
      <c r="B371" s="17" t="str">
        <f aca="false">Portfolio!B371</f>
        <v>Transport</v>
      </c>
      <c r="C371" s="21" t="n">
        <f aca="false">Portfolio!D371</f>
        <v>27930</v>
      </c>
      <c r="D371" s="22" t="n">
        <f aca="false">Portfolio!G371</f>
        <v>0.388550515945109</v>
      </c>
      <c r="E371" s="23" t="n">
        <f aca="false">Portfolio!E371</f>
        <v>0.855</v>
      </c>
      <c r="F371" s="17" t="n">
        <f aca="false">Portfolio!F371</f>
        <v>0</v>
      </c>
      <c r="G371" s="16" t="str">
        <f aca="false">IF(OR(F371&gt;='Cover &amp; Assumptions'!$C$22,Portfolio!I371=1),"Stage 3",IF(OR(F371&gt;=30,D371&gt;'Cover &amp; Assumptions'!$C$21),"Stage 2","Stage 1"))</f>
        <v>Stage 3</v>
      </c>
      <c r="H371" s="16" t="n">
        <f aca="false">IF(G371="Stage 1",12,MIN(Portfolio!H371,60))</f>
        <v>60</v>
      </c>
      <c r="I371" s="24" t="n">
        <f aca="false">1-(1-D371)^(H371/12)</f>
        <v>0.914532123386952</v>
      </c>
      <c r="J371" s="24" t="n">
        <f aca="false">IF(G371="Stage 1",D371,I371)</f>
        <v>0.914532123386952</v>
      </c>
      <c r="K371" s="25" t="n">
        <f aca="false">J371*'Cover &amp; Assumptions'!$D$11*E371*'Cover &amp; Assumptions'!$E$11*C371</f>
        <v>17635.1251611864</v>
      </c>
      <c r="L371" s="25" t="n">
        <f aca="false">J371*'Cover &amp; Assumptions'!$D$12*E371*'Cover &amp; Assumptions'!$E$12*C371</f>
        <v>21839.1642862989</v>
      </c>
      <c r="M371" s="25" t="n">
        <f aca="false">J371*'Cover &amp; Assumptions'!$D$13*E371*'Cover &amp; Assumptions'!$E$13*C371</f>
        <v>38000.1458581601</v>
      </c>
      <c r="N371" s="25" t="n">
        <f aca="false">K371*'Cover &amp; Assumptions'!$C$11+L371*'Cover &amp; Assumptions'!$C$12+M371*'Cover &amp; Assumptions'!$C$13</f>
        <v>25038.6018542417</v>
      </c>
    </row>
    <row r="372" customFormat="false" ht="15" hidden="false" customHeight="false" outlineLevel="0" collapsed="false">
      <c r="A372" s="17" t="str">
        <f aca="false">Portfolio!A372</f>
        <v>UKSME-103299</v>
      </c>
      <c r="B372" s="17" t="str">
        <f aca="false">Portfolio!B372</f>
        <v>Real Estate</v>
      </c>
      <c r="C372" s="21" t="n">
        <f aca="false">Portfolio!D372</f>
        <v>68193</v>
      </c>
      <c r="D372" s="22" t="n">
        <f aca="false">Portfolio!G372</f>
        <v>0.152893301471148</v>
      </c>
      <c r="E372" s="23" t="n">
        <f aca="false">Portfolio!E372</f>
        <v>0.304</v>
      </c>
      <c r="F372" s="17" t="n">
        <f aca="false">Portfolio!F372</f>
        <v>0</v>
      </c>
      <c r="G372" s="16" t="str">
        <f aca="false">IF(OR(F372&gt;='Cover &amp; Assumptions'!$C$22,Portfolio!I372=1),"Stage 3",IF(OR(F372&gt;=30,D372&gt;'Cover &amp; Assumptions'!$C$21),"Stage 2","Stage 1"))</f>
        <v>Stage 2</v>
      </c>
      <c r="H372" s="16" t="n">
        <f aca="false">IF(G372="Stage 1",12,MIN(Portfolio!H372,60))</f>
        <v>36</v>
      </c>
      <c r="I372" s="24" t="n">
        <f aca="false">1-(1-D372)^(H372/12)</f>
        <v>0.392124908615921</v>
      </c>
      <c r="J372" s="24" t="n">
        <f aca="false">IF(G372="Stage 1",D372,I372)</f>
        <v>0.392124908615921</v>
      </c>
      <c r="K372" s="25" t="n">
        <f aca="false">J372*'Cover &amp; Assumptions'!$D$11*E372*'Cover &amp; Assumptions'!$E$11*C372</f>
        <v>6564.17788731391</v>
      </c>
      <c r="L372" s="25" t="n">
        <f aca="false">J372*'Cover &amp; Assumptions'!$D$12*E372*'Cover &amp; Assumptions'!$E$12*C372</f>
        <v>8129.01286354664</v>
      </c>
      <c r="M372" s="25" t="n">
        <f aca="false">J372*'Cover &amp; Assumptions'!$D$13*E372*'Cover &amp; Assumptions'!$E$13*C372</f>
        <v>14144.4823825712</v>
      </c>
      <c r="N372" s="25" t="n">
        <f aca="false">K372*'Cover &amp; Assumptions'!$C$11+L372*'Cover &amp; Assumptions'!$C$12+M372*'Cover &amp; Assumptions'!$C$13</f>
        <v>9319.91324805622</v>
      </c>
    </row>
    <row r="373" customFormat="false" ht="15" hidden="false" customHeight="false" outlineLevel="0" collapsed="false">
      <c r="A373" s="17" t="str">
        <f aca="false">Portfolio!A373</f>
        <v>UKSME-105280</v>
      </c>
      <c r="B373" s="17" t="str">
        <f aca="false">Portfolio!B373</f>
        <v>Technology</v>
      </c>
      <c r="C373" s="21" t="n">
        <f aca="false">Portfolio!D373</f>
        <v>26848</v>
      </c>
      <c r="D373" s="22" t="n">
        <f aca="false">Portfolio!G373</f>
        <v>0.151650074406278</v>
      </c>
      <c r="E373" s="23" t="n">
        <f aca="false">Portfolio!E373</f>
        <v>0.212</v>
      </c>
      <c r="F373" s="17" t="n">
        <f aca="false">Portfolio!F373</f>
        <v>0</v>
      </c>
      <c r="G373" s="16" t="str">
        <f aca="false">IF(OR(F373&gt;='Cover &amp; Assumptions'!$C$22,Portfolio!I373=1),"Stage 3",IF(OR(F373&gt;=30,D373&gt;'Cover &amp; Assumptions'!$C$21),"Stage 2","Stage 1"))</f>
        <v>Stage 2</v>
      </c>
      <c r="H373" s="16" t="n">
        <f aca="false">IF(G373="Stage 1",12,MIN(Portfolio!H373,60))</f>
        <v>36</v>
      </c>
      <c r="I373" s="24" t="n">
        <f aca="false">1-(1-D373)^(H373/12)</f>
        <v>0.389444597767198</v>
      </c>
      <c r="J373" s="24" t="n">
        <f aca="false">IF(G373="Stage 1",D373,I373)</f>
        <v>0.389444597767198</v>
      </c>
      <c r="K373" s="25" t="n">
        <f aca="false">J373*'Cover &amp; Assumptions'!$D$11*E373*'Cover &amp; Assumptions'!$E$11*C373</f>
        <v>1789.92986753255</v>
      </c>
      <c r="L373" s="25" t="n">
        <f aca="false">J373*'Cover &amp; Assumptions'!$D$12*E373*'Cover &amp; Assumptions'!$E$12*C373</f>
        <v>2216.63141490099</v>
      </c>
      <c r="M373" s="25" t="n">
        <f aca="false">J373*'Cover &amp; Assumptions'!$D$13*E373*'Cover &amp; Assumptions'!$E$13*C373</f>
        <v>3856.93866192773</v>
      </c>
      <c r="N373" s="25" t="n">
        <f aca="false">K373*'Cover &amp; Assumptions'!$C$11+L373*'Cover &amp; Assumptions'!$C$12+M373*'Cover &amp; Assumptions'!$C$13</f>
        <v>2541.36791718399</v>
      </c>
    </row>
    <row r="374" customFormat="false" ht="15" hidden="false" customHeight="false" outlineLevel="0" collapsed="false">
      <c r="A374" s="17" t="str">
        <f aca="false">Portfolio!A374</f>
        <v>UKSME-104824</v>
      </c>
      <c r="B374" s="17" t="str">
        <f aca="false">Portfolio!B374</f>
        <v>Construction</v>
      </c>
      <c r="C374" s="21" t="n">
        <f aca="false">Portfolio!D374</f>
        <v>134291</v>
      </c>
      <c r="D374" s="22" t="n">
        <f aca="false">Portfolio!G374</f>
        <v>0.179868222066652</v>
      </c>
      <c r="E374" s="23" t="n">
        <f aca="false">Portfolio!E374</f>
        <v>0.693</v>
      </c>
      <c r="F374" s="17" t="n">
        <f aca="false">Portfolio!F374</f>
        <v>0</v>
      </c>
      <c r="G374" s="16" t="str">
        <f aca="false">IF(OR(F374&gt;='Cover &amp; Assumptions'!$C$22,Portfolio!I374=1),"Stage 3",IF(OR(F374&gt;=30,D374&gt;'Cover &amp; Assumptions'!$C$21),"Stage 2","Stage 1"))</f>
        <v>Stage 2</v>
      </c>
      <c r="H374" s="16" t="n">
        <f aca="false">IF(G374="Stage 1",12,MIN(Portfolio!H374,60))</f>
        <v>12</v>
      </c>
      <c r="I374" s="24" t="n">
        <f aca="false">1-(1-D374)^(H374/12)</f>
        <v>0.179868222066652</v>
      </c>
      <c r="J374" s="24" t="n">
        <f aca="false">IF(G374="Stage 1",D374,I374)</f>
        <v>0.179868222066652</v>
      </c>
      <c r="K374" s="25" t="n">
        <f aca="false">J374*'Cover &amp; Assumptions'!$D$11*E374*'Cover &amp; Assumptions'!$E$11*C374</f>
        <v>13516.9004492772</v>
      </c>
      <c r="L374" s="25" t="n">
        <f aca="false">J374*'Cover &amp; Assumptions'!$D$12*E374*'Cover &amp; Assumptions'!$E$12*C374</f>
        <v>16739.1956028201</v>
      </c>
      <c r="M374" s="25" t="n">
        <f aca="false">J374*'Cover &amp; Assumptions'!$D$13*E374*'Cover &amp; Assumptions'!$E$13*C374</f>
        <v>29126.2003489069</v>
      </c>
      <c r="N374" s="25" t="n">
        <f aca="false">K374*'Cover &amp; Assumptions'!$C$11+L374*'Cover &amp; Assumptions'!$C$12+M374*'Cover &amp; Assumptions'!$C$13</f>
        <v>19191.4877586332</v>
      </c>
    </row>
    <row r="375" customFormat="false" ht="15" hidden="false" customHeight="false" outlineLevel="0" collapsed="false">
      <c r="A375" s="17" t="str">
        <f aca="false">Portfolio!A375</f>
        <v>UKSME-106349</v>
      </c>
      <c r="B375" s="17" t="str">
        <f aca="false">Portfolio!B375</f>
        <v>Construction</v>
      </c>
      <c r="C375" s="21" t="n">
        <f aca="false">Portfolio!D375</f>
        <v>126970</v>
      </c>
      <c r="D375" s="22" t="n">
        <f aca="false">Portfolio!G375</f>
        <v>0.300211257209831</v>
      </c>
      <c r="E375" s="23" t="n">
        <f aca="false">Portfolio!E375</f>
        <v>0.418</v>
      </c>
      <c r="F375" s="17" t="n">
        <f aca="false">Portfolio!F375</f>
        <v>0</v>
      </c>
      <c r="G375" s="16" t="str">
        <f aca="false">IF(OR(F375&gt;='Cover &amp; Assumptions'!$C$22,Portfolio!I375=1),"Stage 3",IF(OR(F375&gt;=30,D375&gt;'Cover &amp; Assumptions'!$C$21),"Stage 2","Stage 1"))</f>
        <v>Stage 3</v>
      </c>
      <c r="H375" s="16" t="n">
        <f aca="false">IF(G375="Stage 1",12,MIN(Portfolio!H375,60))</f>
        <v>60</v>
      </c>
      <c r="I375" s="24" t="n">
        <f aca="false">1-(1-D375)^(H375/12)</f>
        <v>0.832183461247036</v>
      </c>
      <c r="J375" s="24" t="n">
        <f aca="false">IF(G375="Stage 1",D375,I375)</f>
        <v>0.832183461247036</v>
      </c>
      <c r="K375" s="25" t="n">
        <f aca="false">J375*'Cover &amp; Assumptions'!$D$11*E375*'Cover &amp; Assumptions'!$E$11*C375</f>
        <v>35664.7359318486</v>
      </c>
      <c r="L375" s="25" t="n">
        <f aca="false">J375*'Cover &amp; Assumptions'!$D$12*E375*'Cover &amp; Assumptions'!$E$12*C375</f>
        <v>44166.8556431561</v>
      </c>
      <c r="M375" s="25" t="n">
        <f aca="false">J375*'Cover &amp; Assumptions'!$D$13*E375*'Cover &amp; Assumptions'!$E$13*C375</f>
        <v>76850.3288190917</v>
      </c>
      <c r="N375" s="25" t="n">
        <f aca="false">K375*'Cover &amp; Assumptions'!$C$11+L375*'Cover &amp; Assumptions'!$C$12+M375*'Cover &amp; Assumptions'!$C$13</f>
        <v>50637.2999948785</v>
      </c>
    </row>
    <row r="376" customFormat="false" ht="15" hidden="false" customHeight="false" outlineLevel="0" collapsed="false">
      <c r="A376" s="17" t="str">
        <f aca="false">Portfolio!A376</f>
        <v>UKSME-102302</v>
      </c>
      <c r="B376" s="17" t="str">
        <f aca="false">Portfolio!B376</f>
        <v>Technology</v>
      </c>
      <c r="C376" s="21" t="n">
        <f aca="false">Portfolio!D376</f>
        <v>109500</v>
      </c>
      <c r="D376" s="22" t="n">
        <f aca="false">Portfolio!G376</f>
        <v>0.637754977210696</v>
      </c>
      <c r="E376" s="23" t="n">
        <f aca="false">Portfolio!E376</f>
        <v>0.623</v>
      </c>
      <c r="F376" s="17" t="n">
        <f aca="false">Portfolio!F376</f>
        <v>5</v>
      </c>
      <c r="G376" s="16" t="str">
        <f aca="false">IF(OR(F376&gt;='Cover &amp; Assumptions'!$C$22,Portfolio!I376=1),"Stage 3",IF(OR(F376&gt;=30,D376&gt;'Cover &amp; Assumptions'!$C$21),"Stage 2","Stage 1"))</f>
        <v>Stage 3</v>
      </c>
      <c r="H376" s="16" t="n">
        <f aca="false">IF(G376="Stage 1",12,MIN(Portfolio!H376,60))</f>
        <v>60</v>
      </c>
      <c r="I376" s="24" t="n">
        <f aca="false">1-(1-D376)^(H376/12)</f>
        <v>0.993762477358049</v>
      </c>
      <c r="J376" s="24" t="n">
        <f aca="false">IF(G376="Stage 1",D376,I376)</f>
        <v>0.993762477358049</v>
      </c>
      <c r="K376" s="25" t="n">
        <f aca="false">J376*'Cover &amp; Assumptions'!$D$11*E376*'Cover &amp; Assumptions'!$E$11*C376</f>
        <v>54742.8358410324</v>
      </c>
      <c r="L376" s="25" t="n">
        <f aca="false">J376*'Cover &amp; Assumptions'!$D$12*E376*'Cover &amp; Assumptions'!$E$12*C376</f>
        <v>67792.9855616501</v>
      </c>
      <c r="M376" s="25" t="n">
        <f aca="false">J376*'Cover &amp; Assumptions'!$D$13*E376*'Cover &amp; Assumptions'!$E$13*C376</f>
        <v>117959.794877271</v>
      </c>
      <c r="N376" s="25" t="n">
        <f aca="false">K376*'Cover &amp; Assumptions'!$C$11+L376*'Cover &amp; Assumptions'!$C$12+M376*'Cover &amp; Assumptions'!$C$13</f>
        <v>77724.6579464318</v>
      </c>
    </row>
    <row r="377" customFormat="false" ht="15" hidden="false" customHeight="false" outlineLevel="0" collapsed="false">
      <c r="A377" s="17" t="str">
        <f aca="false">Portfolio!A377</f>
        <v>UKSME-106685</v>
      </c>
      <c r="B377" s="17" t="str">
        <f aca="false">Portfolio!B377</f>
        <v>Healthcare</v>
      </c>
      <c r="C377" s="21" t="n">
        <f aca="false">Portfolio!D377</f>
        <v>5815</v>
      </c>
      <c r="D377" s="22" t="n">
        <f aca="false">Portfolio!G377</f>
        <v>0.0953560386288215</v>
      </c>
      <c r="E377" s="23" t="n">
        <f aca="false">Portfolio!E377</f>
        <v>0.05</v>
      </c>
      <c r="F377" s="17" t="n">
        <f aca="false">Portfolio!F377</f>
        <v>0</v>
      </c>
      <c r="G377" s="16" t="str">
        <f aca="false">IF(OR(F377&gt;='Cover &amp; Assumptions'!$C$22,Portfolio!I377=1),"Stage 3",IF(OR(F377&gt;=30,D377&gt;'Cover &amp; Assumptions'!$C$21),"Stage 2","Stage 1"))</f>
        <v>Stage 1</v>
      </c>
      <c r="H377" s="16" t="n">
        <f aca="false">IF(G377="Stage 1",12,MIN(Portfolio!H377,60))</f>
        <v>12</v>
      </c>
      <c r="I377" s="24" t="n">
        <f aca="false">1-(1-D377)^(H377/12)</f>
        <v>0.0953560386288215</v>
      </c>
      <c r="J377" s="24" t="n">
        <f aca="false">IF(G377="Stage 1",D377,I377)</f>
        <v>0.0953560386288215</v>
      </c>
      <c r="K377" s="25" t="n">
        <f aca="false">J377*'Cover &amp; Assumptions'!$D$11*E377*'Cover &amp; Assumptions'!$E$11*C377</f>
        <v>22.3877503467989</v>
      </c>
      <c r="L377" s="25" t="n">
        <f aca="false">J377*'Cover &amp; Assumptions'!$D$12*E377*'Cover &amp; Assumptions'!$E$12*C377</f>
        <v>27.7247682313299</v>
      </c>
      <c r="M377" s="25" t="n">
        <f aca="false">J377*'Cover &amp; Assumptions'!$D$13*E377*'Cover &amp; Assumptions'!$E$13*C377</f>
        <v>48.2410967225139</v>
      </c>
      <c r="N377" s="25" t="n">
        <f aca="false">K377*'Cover &amp; Assumptions'!$C$11+L377*'Cover &amp; Assumptions'!$C$12+M377*'Cover &amp; Assumptions'!$C$13</f>
        <v>31.7864467772197</v>
      </c>
    </row>
    <row r="378" customFormat="false" ht="15" hidden="false" customHeight="false" outlineLevel="0" collapsed="false">
      <c r="A378" s="17" t="str">
        <f aca="false">Portfolio!A378</f>
        <v>UKSME-101421</v>
      </c>
      <c r="B378" s="17" t="str">
        <f aca="false">Portfolio!B378</f>
        <v>Real Estate</v>
      </c>
      <c r="C378" s="21" t="n">
        <f aca="false">Portfolio!D378</f>
        <v>18859</v>
      </c>
      <c r="D378" s="22" t="n">
        <f aca="false">Portfolio!G378</f>
        <v>0.223773523977277</v>
      </c>
      <c r="E378" s="23" t="n">
        <f aca="false">Portfolio!E378</f>
        <v>0.488</v>
      </c>
      <c r="F378" s="17" t="n">
        <f aca="false">Portfolio!F378</f>
        <v>0</v>
      </c>
      <c r="G378" s="16" t="str">
        <f aca="false">IF(OR(F378&gt;='Cover &amp; Assumptions'!$C$22,Portfolio!I378=1),"Stage 3",IF(OR(F378&gt;=30,D378&gt;'Cover &amp; Assumptions'!$C$21),"Stage 2","Stage 1"))</f>
        <v>Stage 3</v>
      </c>
      <c r="H378" s="16" t="n">
        <f aca="false">IF(G378="Stage 1",12,MIN(Portfolio!H378,60))</f>
        <v>48</v>
      </c>
      <c r="I378" s="24" t="n">
        <f aca="false">1-(1-D378)^(H378/12)</f>
        <v>0.636960561036654</v>
      </c>
      <c r="J378" s="24" t="n">
        <f aca="false">IF(G378="Stage 1",D378,I378)</f>
        <v>0.636960561036654</v>
      </c>
      <c r="K378" s="25" t="n">
        <f aca="false">J378*'Cover &amp; Assumptions'!$D$11*E378*'Cover &amp; Assumptions'!$E$11*C378</f>
        <v>4733.6217992658</v>
      </c>
      <c r="L378" s="25" t="n">
        <f aca="false">J378*'Cover &amp; Assumptions'!$D$12*E378*'Cover &amp; Assumptions'!$E$12*C378</f>
        <v>5862.07033964805</v>
      </c>
      <c r="M378" s="25" t="n">
        <f aca="false">J378*'Cover &amp; Assumptions'!$D$13*E378*'Cover &amp; Assumptions'!$E$13*C378</f>
        <v>10200.0023909876</v>
      </c>
      <c r="N378" s="25" t="n">
        <f aca="false">K378*'Cover &amp; Assumptions'!$C$11+L378*'Cover &amp; Assumptions'!$C$12+M378*'Cover &amp; Assumptions'!$C$13</f>
        <v>6720.86364440649</v>
      </c>
    </row>
    <row r="379" customFormat="false" ht="15" hidden="false" customHeight="false" outlineLevel="0" collapsed="false">
      <c r="A379" s="17" t="str">
        <f aca="false">Portfolio!A379</f>
        <v>UKSME-104410</v>
      </c>
      <c r="B379" s="17" t="str">
        <f aca="false">Portfolio!B379</f>
        <v>Real Estate</v>
      </c>
      <c r="C379" s="21" t="n">
        <f aca="false">Portfolio!D379</f>
        <v>50130</v>
      </c>
      <c r="D379" s="22" t="n">
        <f aca="false">Portfolio!G379</f>
        <v>0.300939909926809</v>
      </c>
      <c r="E379" s="23" t="n">
        <f aca="false">Portfolio!E379</f>
        <v>0.463</v>
      </c>
      <c r="F379" s="17" t="n">
        <f aca="false">Portfolio!F379</f>
        <v>15</v>
      </c>
      <c r="G379" s="16" t="str">
        <f aca="false">IF(OR(F379&gt;='Cover &amp; Assumptions'!$C$22,Portfolio!I379=1),"Stage 3",IF(OR(F379&gt;=30,D379&gt;'Cover &amp; Assumptions'!$C$21),"Stage 2","Stage 1"))</f>
        <v>Stage 3</v>
      </c>
      <c r="H379" s="16" t="n">
        <f aca="false">IF(G379="Stage 1",12,MIN(Portfolio!H379,60))</f>
        <v>60</v>
      </c>
      <c r="I379" s="24" t="n">
        <f aca="false">1-(1-D379)^(H379/12)</f>
        <v>0.833055335765895</v>
      </c>
      <c r="J379" s="24" t="n">
        <f aca="false">IF(G379="Stage 1",D379,I379)</f>
        <v>0.833055335765895</v>
      </c>
      <c r="K379" s="25" t="n">
        <f aca="false">J379*'Cover &amp; Assumptions'!$D$11*E379*'Cover &amp; Assumptions'!$E$11*C379</f>
        <v>15613.3133935895</v>
      </c>
      <c r="L379" s="25" t="n">
        <f aca="false">J379*'Cover &amp; Assumptions'!$D$12*E379*'Cover &amp; Assumptions'!$E$12*C379</f>
        <v>19335.3726236402</v>
      </c>
      <c r="M379" s="25" t="n">
        <f aca="false">J379*'Cover &amp; Assumptions'!$D$13*E379*'Cover &amp; Assumptions'!$E$13*C379</f>
        <v>33643.548365134</v>
      </c>
      <c r="N379" s="25" t="n">
        <f aca="false">K379*'Cover &amp; Assumptions'!$C$11+L379*'Cover &amp; Assumptions'!$C$12+M379*'Cover &amp; Assumptions'!$C$13</f>
        <v>22168.0047130035</v>
      </c>
    </row>
    <row r="380" customFormat="false" ht="15" hidden="false" customHeight="false" outlineLevel="0" collapsed="false">
      <c r="A380" s="17" t="str">
        <f aca="false">Portfolio!A380</f>
        <v>UKSME-102792</v>
      </c>
      <c r="B380" s="17" t="str">
        <f aca="false">Portfolio!B380</f>
        <v>Healthcare</v>
      </c>
      <c r="C380" s="21" t="n">
        <f aca="false">Portfolio!D380</f>
        <v>46286</v>
      </c>
      <c r="D380" s="22" t="n">
        <f aca="false">Portfolio!G380</f>
        <v>0.0571929293015828</v>
      </c>
      <c r="E380" s="23" t="n">
        <f aca="false">Portfolio!E380</f>
        <v>0.339</v>
      </c>
      <c r="F380" s="17" t="n">
        <f aca="false">Portfolio!F380</f>
        <v>0</v>
      </c>
      <c r="G380" s="16" t="str">
        <f aca="false">IF(OR(F380&gt;='Cover &amp; Assumptions'!$C$22,Portfolio!I380=1),"Stage 3",IF(OR(F380&gt;=30,D380&gt;'Cover &amp; Assumptions'!$C$21),"Stage 2","Stage 1"))</f>
        <v>Stage 1</v>
      </c>
      <c r="H380" s="16" t="n">
        <f aca="false">IF(G380="Stage 1",12,MIN(Portfolio!H380,60))</f>
        <v>12</v>
      </c>
      <c r="I380" s="24" t="n">
        <f aca="false">1-(1-D380)^(H380/12)</f>
        <v>0.0571929293015828</v>
      </c>
      <c r="J380" s="24" t="n">
        <f aca="false">IF(G380="Stage 1",D380,I380)</f>
        <v>0.0571929293015828</v>
      </c>
      <c r="K380" s="25" t="n">
        <f aca="false">J380*'Cover &amp; Assumptions'!$D$11*E380*'Cover &amp; Assumptions'!$E$11*C380</f>
        <v>724.659885408083</v>
      </c>
      <c r="L380" s="25" t="n">
        <f aca="false">J380*'Cover &amp; Assumptions'!$D$12*E380*'Cover &amp; Assumptions'!$E$12*C380</f>
        <v>897.411622796388</v>
      </c>
      <c r="M380" s="25" t="n">
        <f aca="false">J380*'Cover &amp; Assumptions'!$D$13*E380*'Cover &amp; Assumptions'!$E$13*C380</f>
        <v>1561.49622366571</v>
      </c>
      <c r="N380" s="25" t="n">
        <f aca="false">K380*'Cover &amp; Assumptions'!$C$11+L380*'Cover &amp; Assumptions'!$C$12+M380*'Cover &amp; Assumptions'!$C$13</f>
        <v>1028.88242553606</v>
      </c>
    </row>
    <row r="381" customFormat="false" ht="15" hidden="false" customHeight="false" outlineLevel="0" collapsed="false">
      <c r="A381" s="17" t="str">
        <f aca="false">Portfolio!A381</f>
        <v>UKSME-108080</v>
      </c>
      <c r="B381" s="17" t="str">
        <f aca="false">Portfolio!B381</f>
        <v>Real Estate</v>
      </c>
      <c r="C381" s="21" t="n">
        <f aca="false">Portfolio!D381</f>
        <v>19230</v>
      </c>
      <c r="D381" s="22" t="n">
        <f aca="false">Portfolio!G381</f>
        <v>0.170811630143399</v>
      </c>
      <c r="E381" s="23" t="n">
        <f aca="false">Portfolio!E381</f>
        <v>0.306</v>
      </c>
      <c r="F381" s="17" t="n">
        <f aca="false">Portfolio!F381</f>
        <v>0</v>
      </c>
      <c r="G381" s="16" t="str">
        <f aca="false">IF(OR(F381&gt;='Cover &amp; Assumptions'!$C$22,Portfolio!I381=1),"Stage 3",IF(OR(F381&gt;=30,D381&gt;'Cover &amp; Assumptions'!$C$21),"Stage 2","Stage 1"))</f>
        <v>Stage 2</v>
      </c>
      <c r="H381" s="16" t="n">
        <f aca="false">IF(G381="Stage 1",12,MIN(Portfolio!H381,60))</f>
        <v>36</v>
      </c>
      <c r="I381" s="24" t="n">
        <f aca="false">1-(1-D381)^(H381/12)</f>
        <v>0.42988875628073</v>
      </c>
      <c r="J381" s="24" t="n">
        <f aca="false">IF(G381="Stage 1",D381,I381)</f>
        <v>0.42988875628073</v>
      </c>
      <c r="K381" s="25" t="n">
        <f aca="false">J381*'Cover &amp; Assumptions'!$D$11*E381*'Cover &amp; Assumptions'!$E$11*C381</f>
        <v>2042.67525574418</v>
      </c>
      <c r="L381" s="25" t="n">
        <f aca="false">J381*'Cover &amp; Assumptions'!$D$12*E381*'Cover &amp; Assumptions'!$E$12*C381</f>
        <v>2529.6287996832</v>
      </c>
      <c r="M381" s="25" t="n">
        <f aca="false">J381*'Cover &amp; Assumptions'!$D$13*E381*'Cover &amp; Assumptions'!$E$13*C381</f>
        <v>4401.55411144877</v>
      </c>
      <c r="N381" s="25" t="n">
        <f aca="false">K381*'Cover &amp; Assumptions'!$C$11+L381*'Cover &amp; Assumptions'!$C$12+M381*'Cover &amp; Assumptions'!$C$13</f>
        <v>2900.21941883679</v>
      </c>
    </row>
    <row r="382" customFormat="false" ht="15" hidden="false" customHeight="false" outlineLevel="0" collapsed="false">
      <c r="A382" s="17" t="str">
        <f aca="false">Portfolio!A382</f>
        <v>UKSME-109395</v>
      </c>
      <c r="B382" s="17" t="str">
        <f aca="false">Portfolio!B382</f>
        <v>Real Estate</v>
      </c>
      <c r="C382" s="21" t="n">
        <f aca="false">Portfolio!D382</f>
        <v>441567</v>
      </c>
      <c r="D382" s="22" t="n">
        <f aca="false">Portfolio!G382</f>
        <v>0.154370140046357</v>
      </c>
      <c r="E382" s="23" t="n">
        <f aca="false">Portfolio!E382</f>
        <v>0.137</v>
      </c>
      <c r="F382" s="17" t="n">
        <f aca="false">Portfolio!F382</f>
        <v>0</v>
      </c>
      <c r="G382" s="16" t="str">
        <f aca="false">IF(OR(F382&gt;='Cover &amp; Assumptions'!$C$22,Portfolio!I382=1),"Stage 3",IF(OR(F382&gt;=30,D382&gt;'Cover &amp; Assumptions'!$C$21),"Stage 2","Stage 1"))</f>
        <v>Stage 2</v>
      </c>
      <c r="H382" s="16" t="n">
        <f aca="false">IF(G382="Stage 1",12,MIN(Portfolio!H382,60))</f>
        <v>60</v>
      </c>
      <c r="I382" s="24" t="n">
        <f aca="false">1-(1-D382)^(H382/12)</f>
        <v>0.567584204694326</v>
      </c>
      <c r="J382" s="24" t="n">
        <f aca="false">IF(G382="Stage 1",D382,I382)</f>
        <v>0.567584204694326</v>
      </c>
      <c r="K382" s="25" t="n">
        <f aca="false">J382*'Cover &amp; Assumptions'!$D$11*E382*'Cover &amp; Assumptions'!$E$11*C382</f>
        <v>27726.1780967762</v>
      </c>
      <c r="L382" s="25" t="n">
        <f aca="false">J382*'Cover &amp; Assumptions'!$D$12*E382*'Cover &amp; Assumptions'!$E$12*C382</f>
        <v>34335.8242684535</v>
      </c>
      <c r="M382" s="25" t="n">
        <f aca="false">J382*'Cover &amp; Assumptions'!$D$13*E382*'Cover &amp; Assumptions'!$E$13*C382</f>
        <v>59744.3342271091</v>
      </c>
      <c r="N382" s="25" t="n">
        <f aca="false">K382*'Cover &amp; Assumptions'!$C$11+L382*'Cover &amp; Assumptions'!$C$12+M382*'Cover &amp; Assumptions'!$C$13</f>
        <v>39366.022523782</v>
      </c>
    </row>
    <row r="383" customFormat="false" ht="15" hidden="false" customHeight="false" outlineLevel="0" collapsed="false">
      <c r="A383" s="17" t="str">
        <f aca="false">Portfolio!A383</f>
        <v>UKSME-103559</v>
      </c>
      <c r="B383" s="17" t="str">
        <f aca="false">Portfolio!B383</f>
        <v>Professional Services</v>
      </c>
      <c r="C383" s="21" t="n">
        <f aca="false">Portfolio!D383</f>
        <v>72820</v>
      </c>
      <c r="D383" s="22" t="n">
        <f aca="false">Portfolio!G383</f>
        <v>0.113325962979612</v>
      </c>
      <c r="E383" s="23" t="n">
        <f aca="false">Portfolio!E383</f>
        <v>0.699</v>
      </c>
      <c r="F383" s="17" t="n">
        <f aca="false">Portfolio!F383</f>
        <v>0</v>
      </c>
      <c r="G383" s="16" t="str">
        <f aca="false">IF(OR(F383&gt;='Cover &amp; Assumptions'!$C$22,Portfolio!I383=1),"Stage 3",IF(OR(F383&gt;=30,D383&gt;'Cover &amp; Assumptions'!$C$21),"Stage 2","Stage 1"))</f>
        <v>Stage 1</v>
      </c>
      <c r="H383" s="16" t="n">
        <f aca="false">IF(G383="Stage 1",12,MIN(Portfolio!H383,60))</f>
        <v>12</v>
      </c>
      <c r="I383" s="24" t="n">
        <f aca="false">1-(1-D383)^(H383/12)</f>
        <v>0.113325962979612</v>
      </c>
      <c r="J383" s="24" t="n">
        <f aca="false">IF(G383="Stage 1",D383,I383)</f>
        <v>0.113325962979612</v>
      </c>
      <c r="K383" s="25" t="n">
        <f aca="false">J383*'Cover &amp; Assumptions'!$D$11*E383*'Cover &amp; Assumptions'!$E$11*C383</f>
        <v>4658.00338154108</v>
      </c>
      <c r="L383" s="25" t="n">
        <f aca="false">J383*'Cover &amp; Assumptions'!$D$12*E383*'Cover &amp; Assumptions'!$E$12*C383</f>
        <v>5768.42524029855</v>
      </c>
      <c r="M383" s="25" t="n">
        <f aca="false">J383*'Cover &amp; Assumptions'!$D$13*E383*'Cover &amp; Assumptions'!$E$13*C383</f>
        <v>10037.0599181195</v>
      </c>
      <c r="N383" s="25" t="n">
        <f aca="false">K383*'Cover &amp; Assumptions'!$C$11+L383*'Cover &amp; Assumptions'!$C$12+M383*'Cover &amp; Assumptions'!$C$13</f>
        <v>6613.49953800228</v>
      </c>
    </row>
    <row r="384" customFormat="false" ht="15" hidden="false" customHeight="false" outlineLevel="0" collapsed="false">
      <c r="A384" s="17" t="str">
        <f aca="false">Portfolio!A384</f>
        <v>UKSME-102142</v>
      </c>
      <c r="B384" s="17" t="str">
        <f aca="false">Portfolio!B384</f>
        <v>Retail</v>
      </c>
      <c r="C384" s="21" t="n">
        <f aca="false">Portfolio!D384</f>
        <v>227517</v>
      </c>
      <c r="D384" s="22" t="n">
        <f aca="false">Portfolio!G384</f>
        <v>0.151427998964958</v>
      </c>
      <c r="E384" s="23" t="n">
        <f aca="false">Portfolio!E384</f>
        <v>0.734</v>
      </c>
      <c r="F384" s="17" t="n">
        <f aca="false">Portfolio!F384</f>
        <v>0</v>
      </c>
      <c r="G384" s="16" t="str">
        <f aca="false">IF(OR(F384&gt;='Cover &amp; Assumptions'!$C$22,Portfolio!I384=1),"Stage 3",IF(OR(F384&gt;=30,D384&gt;'Cover &amp; Assumptions'!$C$21),"Stage 2","Stage 1"))</f>
        <v>Stage 2</v>
      </c>
      <c r="H384" s="16" t="n">
        <f aca="false">IF(G384="Stage 1",12,MIN(Portfolio!H384,60))</f>
        <v>36</v>
      </c>
      <c r="I384" s="24" t="n">
        <f aca="false">1-(1-D384)^(H384/12)</f>
        <v>0.388964990756834</v>
      </c>
      <c r="J384" s="24" t="n">
        <f aca="false">IF(G384="Stage 1",D384,I384)</f>
        <v>0.388964990756834</v>
      </c>
      <c r="K384" s="25" t="n">
        <f aca="false">J384*'Cover &amp; Assumptions'!$D$11*E384*'Cover &amp; Assumptions'!$E$11*C384</f>
        <v>52452.1092829978</v>
      </c>
      <c r="L384" s="25" t="n">
        <f aca="false">J384*'Cover &amp; Assumptions'!$D$12*E384*'Cover &amp; Assumptions'!$E$12*C384</f>
        <v>64956.1724866846</v>
      </c>
      <c r="M384" s="25" t="n">
        <f aca="false">J384*'Cover &amp; Assumptions'!$D$13*E384*'Cover &amp; Assumptions'!$E$13*C384</f>
        <v>113023.740126831</v>
      </c>
      <c r="N384" s="25" t="n">
        <f aca="false">K384*'Cover &amp; Assumptions'!$C$11+L384*'Cover &amp; Assumptions'!$C$12+M384*'Cover &amp; Assumptions'!$C$13</f>
        <v>74472.2517559838</v>
      </c>
    </row>
    <row r="385" customFormat="false" ht="15" hidden="false" customHeight="false" outlineLevel="0" collapsed="false">
      <c r="A385" s="17" t="str">
        <f aca="false">Portfolio!A385</f>
        <v>UKSME-100843</v>
      </c>
      <c r="B385" s="17" t="str">
        <f aca="false">Portfolio!B385</f>
        <v>Healthcare</v>
      </c>
      <c r="C385" s="21" t="n">
        <f aca="false">Portfolio!D385</f>
        <v>48339</v>
      </c>
      <c r="D385" s="22" t="n">
        <f aca="false">Portfolio!G385</f>
        <v>0.0957327103529424</v>
      </c>
      <c r="E385" s="23" t="n">
        <f aca="false">Portfolio!E385</f>
        <v>0.31</v>
      </c>
      <c r="F385" s="17" t="n">
        <f aca="false">Portfolio!F385</f>
        <v>0</v>
      </c>
      <c r="G385" s="16" t="str">
        <f aca="false">IF(OR(F385&gt;='Cover &amp; Assumptions'!$C$22,Portfolio!I385=1),"Stage 3",IF(OR(F385&gt;=30,D385&gt;'Cover &amp; Assumptions'!$C$21),"Stage 2","Stage 1"))</f>
        <v>Stage 1</v>
      </c>
      <c r="H385" s="16" t="n">
        <f aca="false">IF(G385="Stage 1",12,MIN(Portfolio!H385,60))</f>
        <v>12</v>
      </c>
      <c r="I385" s="24" t="n">
        <f aca="false">1-(1-D385)^(H385/12)</f>
        <v>0.0957327103529424</v>
      </c>
      <c r="J385" s="24" t="n">
        <f aca="false">IF(G385="Stage 1",D385,I385)</f>
        <v>0.0957327103529424</v>
      </c>
      <c r="K385" s="25" t="n">
        <f aca="false">J385*'Cover &amp; Assumptions'!$D$11*E385*'Cover &amp; Assumptions'!$E$11*C385</f>
        <v>1158.40984907059</v>
      </c>
      <c r="L385" s="25" t="n">
        <f aca="false">J385*'Cover &amp; Assumptions'!$D$12*E385*'Cover &amp; Assumptions'!$E$12*C385</f>
        <v>1434.56328058277</v>
      </c>
      <c r="M385" s="25" t="n">
        <f aca="false">J385*'Cover &amp; Assumptions'!$D$13*E385*'Cover &amp; Assumptions'!$E$13*C385</f>
        <v>2496.14010821403</v>
      </c>
      <c r="N385" s="25" t="n">
        <f aca="false">K385*'Cover &amp; Assumptions'!$C$11+L385*'Cover &amp; Assumptions'!$C$12+M385*'Cover &amp; Assumptions'!$C$13</f>
        <v>1644.72680118815</v>
      </c>
    </row>
    <row r="386" customFormat="false" ht="15" hidden="false" customHeight="false" outlineLevel="0" collapsed="false">
      <c r="A386" s="17" t="str">
        <f aca="false">Portfolio!A386</f>
        <v>UKSME-101450</v>
      </c>
      <c r="B386" s="17" t="str">
        <f aca="false">Portfolio!B386</f>
        <v>Technology</v>
      </c>
      <c r="C386" s="21" t="n">
        <f aca="false">Portfolio!D386</f>
        <v>50156</v>
      </c>
      <c r="D386" s="22" t="n">
        <f aca="false">Portfolio!G386</f>
        <v>0.001</v>
      </c>
      <c r="E386" s="23" t="n">
        <f aca="false">Portfolio!E386</f>
        <v>0.675</v>
      </c>
      <c r="F386" s="17" t="n">
        <f aca="false">Portfolio!F386</f>
        <v>0</v>
      </c>
      <c r="G386" s="16" t="str">
        <f aca="false">IF(OR(F386&gt;='Cover &amp; Assumptions'!$C$22,Portfolio!I386=1),"Stage 3",IF(OR(F386&gt;=30,D386&gt;'Cover &amp; Assumptions'!$C$21),"Stage 2","Stage 1"))</f>
        <v>Stage 1</v>
      </c>
      <c r="H386" s="16" t="n">
        <f aca="false">IF(G386="Stage 1",12,MIN(Portfolio!H386,60))</f>
        <v>12</v>
      </c>
      <c r="I386" s="24" t="n">
        <f aca="false">1-(1-D386)^(H386/12)</f>
        <v>0.001</v>
      </c>
      <c r="J386" s="24" t="n">
        <f aca="false">IF(G386="Stage 1",D386,I386)</f>
        <v>0.001</v>
      </c>
      <c r="K386" s="25" t="n">
        <f aca="false">J386*'Cover &amp; Assumptions'!$D$11*E386*'Cover &amp; Assumptions'!$E$11*C386</f>
        <v>27.33815475</v>
      </c>
      <c r="L386" s="25" t="n">
        <f aca="false">J386*'Cover &amp; Assumptions'!$D$12*E386*'Cover &amp; Assumptions'!$E$12*C386</f>
        <v>33.8553</v>
      </c>
      <c r="M386" s="25" t="n">
        <f aca="false">J386*'Cover &amp; Assumptions'!$D$13*E386*'Cover &amp; Assumptions'!$E$13*C386</f>
        <v>58.908222</v>
      </c>
      <c r="N386" s="25" t="n">
        <f aca="false">K386*'Cover &amp; Assumptions'!$C$11+L386*'Cover &amp; Assumptions'!$C$12+M386*'Cover &amp; Assumptions'!$C$13</f>
        <v>38.81510145</v>
      </c>
    </row>
    <row r="387" customFormat="false" ht="15" hidden="false" customHeight="false" outlineLevel="0" collapsed="false">
      <c r="A387" s="17" t="str">
        <f aca="false">Portfolio!A387</f>
        <v>UKSME-108578</v>
      </c>
      <c r="B387" s="17" t="str">
        <f aca="false">Portfolio!B387</f>
        <v>Hospitality</v>
      </c>
      <c r="C387" s="21" t="n">
        <f aca="false">Portfolio!D387</f>
        <v>481719</v>
      </c>
      <c r="D387" s="22" t="n">
        <f aca="false">Portfolio!G387</f>
        <v>0.182326594412625</v>
      </c>
      <c r="E387" s="23" t="n">
        <f aca="false">Portfolio!E387</f>
        <v>0.316</v>
      </c>
      <c r="F387" s="17" t="n">
        <f aca="false">Portfolio!F387</f>
        <v>0</v>
      </c>
      <c r="G387" s="16" t="str">
        <f aca="false">IF(OR(F387&gt;='Cover &amp; Assumptions'!$C$22,Portfolio!I387=1),"Stage 3",IF(OR(F387&gt;=30,D387&gt;'Cover &amp; Assumptions'!$C$21),"Stage 2","Stage 1"))</f>
        <v>Stage 2</v>
      </c>
      <c r="H387" s="16" t="n">
        <f aca="false">IF(G387="Stage 1",12,MIN(Portfolio!H387,60))</f>
        <v>48</v>
      </c>
      <c r="I387" s="24" t="n">
        <f aca="false">1-(1-D387)^(H387/12)</f>
        <v>0.55298768173639</v>
      </c>
      <c r="J387" s="24" t="n">
        <f aca="false">IF(G387="Stage 1",D387,I387)</f>
        <v>0.55298768173639</v>
      </c>
      <c r="K387" s="25" t="n">
        <f aca="false">J387*'Cover &amp; Assumptions'!$D$11*E387*'Cover &amp; Assumptions'!$E$11*C387</f>
        <v>67973.3770243048</v>
      </c>
      <c r="L387" s="25" t="n">
        <f aca="false">J387*'Cover &amp; Assumptions'!$D$12*E387*'Cover &amp; Assumptions'!$E$12*C387</f>
        <v>84177.5566864456</v>
      </c>
      <c r="M387" s="25" t="n">
        <f aca="false">J387*'Cover &amp; Assumptions'!$D$13*E387*'Cover &amp; Assumptions'!$E$13*C387</f>
        <v>146468.948634415</v>
      </c>
      <c r="N387" s="25" t="n">
        <f aca="false">K387*'Cover &amp; Assumptions'!$C$11+L387*'Cover &amp; Assumptions'!$C$12+M387*'Cover &amp; Assumptions'!$C$13</f>
        <v>96509.5687410098</v>
      </c>
    </row>
    <row r="388" customFormat="false" ht="15" hidden="false" customHeight="false" outlineLevel="0" collapsed="false">
      <c r="A388" s="17" t="str">
        <f aca="false">Portfolio!A388</f>
        <v>UKSME-105019</v>
      </c>
      <c r="B388" s="17" t="str">
        <f aca="false">Portfolio!B388</f>
        <v>Construction</v>
      </c>
      <c r="C388" s="21" t="n">
        <f aca="false">Portfolio!D388</f>
        <v>57425</v>
      </c>
      <c r="D388" s="22" t="n">
        <f aca="false">Portfolio!G388</f>
        <v>0.0691939422725484</v>
      </c>
      <c r="E388" s="23" t="n">
        <f aca="false">Portfolio!E388</f>
        <v>0.489</v>
      </c>
      <c r="F388" s="17" t="n">
        <f aca="false">Portfolio!F388</f>
        <v>0</v>
      </c>
      <c r="G388" s="16" t="str">
        <f aca="false">IF(OR(F388&gt;='Cover &amp; Assumptions'!$C$22,Portfolio!I388=1),"Stage 3",IF(OR(F388&gt;=30,D388&gt;'Cover &amp; Assumptions'!$C$21),"Stage 2","Stage 1"))</f>
        <v>Stage 1</v>
      </c>
      <c r="H388" s="16" t="n">
        <f aca="false">IF(G388="Stage 1",12,MIN(Portfolio!H388,60))</f>
        <v>12</v>
      </c>
      <c r="I388" s="24" t="n">
        <f aca="false">1-(1-D388)^(H388/12)</f>
        <v>0.0691939422725484</v>
      </c>
      <c r="J388" s="24" t="n">
        <f aca="false">IF(G388="Stage 1",D388,I388)</f>
        <v>0.0691939422725484</v>
      </c>
      <c r="K388" s="25" t="n">
        <f aca="false">J388*'Cover &amp; Assumptions'!$D$11*E388*'Cover &amp; Assumptions'!$E$11*C388</f>
        <v>1568.99105959254</v>
      </c>
      <c r="L388" s="25" t="n">
        <f aca="false">J388*'Cover &amp; Assumptions'!$D$12*E388*'Cover &amp; Assumptions'!$E$12*C388</f>
        <v>1943.02298401553</v>
      </c>
      <c r="M388" s="25" t="n">
        <f aca="false">J388*'Cover &amp; Assumptions'!$D$13*E388*'Cover &amp; Assumptions'!$E$13*C388</f>
        <v>3380.85999218703</v>
      </c>
      <c r="N388" s="25" t="n">
        <f aca="false">K388*'Cover &amp; Assumptions'!$C$11+L388*'Cover &amp; Assumptions'!$C$12+M388*'Cover &amp; Assumptions'!$C$13</f>
        <v>2227.67585117381</v>
      </c>
    </row>
    <row r="389" customFormat="false" ht="15" hidden="false" customHeight="false" outlineLevel="0" collapsed="false">
      <c r="A389" s="17" t="str">
        <f aca="false">Portfolio!A389</f>
        <v>UKSME-103359</v>
      </c>
      <c r="B389" s="17" t="str">
        <f aca="false">Portfolio!B389</f>
        <v>Manufacturing</v>
      </c>
      <c r="C389" s="21" t="n">
        <f aca="false">Portfolio!D389</f>
        <v>81403</v>
      </c>
      <c r="D389" s="22" t="n">
        <f aca="false">Portfolio!G389</f>
        <v>0.158514083204559</v>
      </c>
      <c r="E389" s="23" t="n">
        <f aca="false">Portfolio!E389</f>
        <v>0.32</v>
      </c>
      <c r="F389" s="17" t="n">
        <f aca="false">Portfolio!F389</f>
        <v>0</v>
      </c>
      <c r="G389" s="16" t="str">
        <f aca="false">IF(OR(F389&gt;='Cover &amp; Assumptions'!$C$22,Portfolio!I389=1),"Stage 3",IF(OR(F389&gt;=30,D389&gt;'Cover &amp; Assumptions'!$C$21),"Stage 2","Stage 1"))</f>
        <v>Stage 2</v>
      </c>
      <c r="H389" s="16" t="n">
        <f aca="false">IF(G389="Stage 1",12,MIN(Portfolio!H389,60))</f>
        <v>60</v>
      </c>
      <c r="I389" s="24" t="n">
        <f aca="false">1-(1-D389)^(H389/12)</f>
        <v>0.57807597075063</v>
      </c>
      <c r="J389" s="24" t="n">
        <f aca="false">IF(G389="Stage 1",D389,I389)</f>
        <v>0.57807597075063</v>
      </c>
      <c r="K389" s="25" t="n">
        <f aca="false">J389*'Cover &amp; Assumptions'!$D$11*E389*'Cover &amp; Assumptions'!$E$11*C389</f>
        <v>12159.5593550283</v>
      </c>
      <c r="L389" s="25" t="n">
        <f aca="false">J389*'Cover &amp; Assumptions'!$D$12*E389*'Cover &amp; Assumptions'!$E$12*C389</f>
        <v>15058.2778390443</v>
      </c>
      <c r="M389" s="25" t="n">
        <f aca="false">J389*'Cover &amp; Assumptions'!$D$13*E389*'Cover &amp; Assumptions'!$E$13*C389</f>
        <v>26201.4034399371</v>
      </c>
      <c r="N389" s="25" t="n">
        <f aca="false">K389*'Cover &amp; Assumptions'!$C$11+L389*'Cover &amp; Assumptions'!$C$12+M389*'Cover &amp; Assumptions'!$C$13</f>
        <v>17264.3155424643</v>
      </c>
    </row>
    <row r="390" customFormat="false" ht="15" hidden="false" customHeight="false" outlineLevel="0" collapsed="false">
      <c r="A390" s="17" t="str">
        <f aca="false">Portfolio!A390</f>
        <v>UKSME-108820</v>
      </c>
      <c r="B390" s="17" t="str">
        <f aca="false">Portfolio!B390</f>
        <v>Professional Services</v>
      </c>
      <c r="C390" s="21" t="n">
        <f aca="false">Portfolio!D390</f>
        <v>136373</v>
      </c>
      <c r="D390" s="22" t="n">
        <f aca="false">Portfolio!G390</f>
        <v>0.1876591611293</v>
      </c>
      <c r="E390" s="23" t="n">
        <f aca="false">Portfolio!E390</f>
        <v>0.666</v>
      </c>
      <c r="F390" s="17" t="n">
        <f aca="false">Portfolio!F390</f>
        <v>0</v>
      </c>
      <c r="G390" s="16" t="str">
        <f aca="false">IF(OR(F390&gt;='Cover &amp; Assumptions'!$C$22,Portfolio!I390=1),"Stage 3",IF(OR(F390&gt;=30,D390&gt;'Cover &amp; Assumptions'!$C$21),"Stage 2","Stage 1"))</f>
        <v>Stage 2</v>
      </c>
      <c r="H390" s="16" t="n">
        <f aca="false">IF(G390="Stage 1",12,MIN(Portfolio!H390,60))</f>
        <v>60</v>
      </c>
      <c r="I390" s="24" t="n">
        <f aca="false">1-(1-D390)^(H390/12)</f>
        <v>0.646254083282717</v>
      </c>
      <c r="J390" s="24" t="n">
        <f aca="false">IF(G390="Stage 1",D390,I390)</f>
        <v>0.646254083282717</v>
      </c>
      <c r="K390" s="25" t="n">
        <f aca="false">J390*'Cover &amp; Assumptions'!$D$11*E390*'Cover &amp; Assumptions'!$E$11*C390</f>
        <v>47396.7381778781</v>
      </c>
      <c r="L390" s="25" t="n">
        <f aca="false">J390*'Cover &amp; Assumptions'!$D$12*E390*'Cover &amp; Assumptions'!$E$12*C390</f>
        <v>58695.6509942763</v>
      </c>
      <c r="M390" s="25" t="n">
        <f aca="false">J390*'Cover &amp; Assumptions'!$D$13*E390*'Cover &amp; Assumptions'!$E$13*C390</f>
        <v>102130.432730041</v>
      </c>
      <c r="N390" s="25" t="n">
        <f aca="false">K390*'Cover &amp; Assumptions'!$C$11+L390*'Cover &amp; Assumptions'!$C$12+M390*'Cover &amp; Assumptions'!$C$13</f>
        <v>67294.5638649377</v>
      </c>
    </row>
    <row r="391" customFormat="false" ht="15" hidden="false" customHeight="false" outlineLevel="0" collapsed="false">
      <c r="A391" s="17" t="str">
        <f aca="false">Portfolio!A391</f>
        <v>UKSME-106859</v>
      </c>
      <c r="B391" s="17" t="str">
        <f aca="false">Portfolio!B391</f>
        <v>Manufacturing</v>
      </c>
      <c r="C391" s="21" t="n">
        <f aca="false">Portfolio!D391</f>
        <v>270712</v>
      </c>
      <c r="D391" s="22" t="n">
        <f aca="false">Portfolio!G391</f>
        <v>0.226092949368511</v>
      </c>
      <c r="E391" s="23" t="n">
        <f aca="false">Portfolio!E391</f>
        <v>0.52</v>
      </c>
      <c r="F391" s="17" t="n">
        <f aca="false">Portfolio!F391</f>
        <v>0</v>
      </c>
      <c r="G391" s="16" t="str">
        <f aca="false">IF(OR(F391&gt;='Cover &amp; Assumptions'!$C$22,Portfolio!I391=1),"Stage 3",IF(OR(F391&gt;=30,D391&gt;'Cover &amp; Assumptions'!$C$21),"Stage 2","Stage 1"))</f>
        <v>Stage 2</v>
      </c>
      <c r="H391" s="16" t="n">
        <f aca="false">IF(G391="Stage 1",12,MIN(Portfolio!H391,60))</f>
        <v>36</v>
      </c>
      <c r="I391" s="24" t="n">
        <f aca="false">1-(1-D391)^(H391/12)</f>
        <v>0.536482207147356</v>
      </c>
      <c r="J391" s="24" t="n">
        <f aca="false">IF(G391="Stage 1",D391,I391)</f>
        <v>0.536482207147356</v>
      </c>
      <c r="K391" s="25" t="n">
        <f aca="false">J391*'Cover &amp; Assumptions'!$D$11*E391*'Cover &amp; Assumptions'!$E$11*C391</f>
        <v>60982.9887126094</v>
      </c>
      <c r="L391" s="25" t="n">
        <f aca="false">J391*'Cover &amp; Assumptions'!$D$12*E391*'Cover &amp; Assumptions'!$E$12*C391</f>
        <v>75520.7290558631</v>
      </c>
      <c r="M391" s="25" t="n">
        <f aca="false">J391*'Cover &amp; Assumptions'!$D$13*E391*'Cover &amp; Assumptions'!$E$13*C391</f>
        <v>131406.068557202</v>
      </c>
      <c r="N391" s="25" t="n">
        <f aca="false">K391*'Cover &amp; Assumptions'!$C$11+L391*'Cover &amp; Assumptions'!$C$12+M391*'Cover &amp; Assumptions'!$C$13</f>
        <v>86584.515862547</v>
      </c>
    </row>
    <row r="392" customFormat="false" ht="15" hidden="false" customHeight="false" outlineLevel="0" collapsed="false">
      <c r="A392" s="17" t="str">
        <f aca="false">Portfolio!A392</f>
        <v>UKSME-104522</v>
      </c>
      <c r="B392" s="17" t="str">
        <f aca="false">Portfolio!B392</f>
        <v>Wholesale</v>
      </c>
      <c r="C392" s="21" t="n">
        <f aca="false">Portfolio!D392</f>
        <v>145926</v>
      </c>
      <c r="D392" s="22" t="n">
        <f aca="false">Portfolio!G392</f>
        <v>0.229318010437479</v>
      </c>
      <c r="E392" s="23" t="n">
        <f aca="false">Portfolio!E392</f>
        <v>0.252</v>
      </c>
      <c r="F392" s="17" t="n">
        <f aca="false">Portfolio!F392</f>
        <v>0</v>
      </c>
      <c r="G392" s="16" t="str">
        <f aca="false">IF(OR(F392&gt;='Cover &amp; Assumptions'!$C$22,Portfolio!I392=1),"Stage 3",IF(OR(F392&gt;=30,D392&gt;'Cover &amp; Assumptions'!$C$21),"Stage 2","Stage 1"))</f>
        <v>Stage 2</v>
      </c>
      <c r="H392" s="16" t="n">
        <f aca="false">IF(G392="Stage 1",12,MIN(Portfolio!H392,60))</f>
        <v>60</v>
      </c>
      <c r="I392" s="24" t="n">
        <f aca="false">1-(1-D392)^(H392/12)</f>
        <v>0.728120758686288</v>
      </c>
      <c r="J392" s="24" t="n">
        <f aca="false">IF(G392="Stage 1",D392,I392)</f>
        <v>0.728120758686288</v>
      </c>
      <c r="K392" s="25" t="n">
        <f aca="false">J392*'Cover &amp; Assumptions'!$D$11*E392*'Cover &amp; Assumptions'!$E$11*C392</f>
        <v>21621.1685733249</v>
      </c>
      <c r="L392" s="25" t="n">
        <f aca="false">J392*'Cover &amp; Assumptions'!$D$12*E392*'Cover &amp; Assumptions'!$E$12*C392</f>
        <v>26775.4409576779</v>
      </c>
      <c r="M392" s="25" t="n">
        <f aca="false">J392*'Cover &amp; Assumptions'!$D$13*E392*'Cover &amp; Assumptions'!$E$13*C392</f>
        <v>46589.2672663596</v>
      </c>
      <c r="N392" s="25" t="n">
        <f aca="false">K392*'Cover &amp; Assumptions'!$C$11+L392*'Cover &amp; Assumptions'!$C$12+M392*'Cover &amp; Assumptions'!$C$13</f>
        <v>30698.0430579778</v>
      </c>
    </row>
    <row r="393" customFormat="false" ht="15" hidden="false" customHeight="false" outlineLevel="0" collapsed="false">
      <c r="A393" s="17" t="str">
        <f aca="false">Portfolio!A393</f>
        <v>UKSME-101592</v>
      </c>
      <c r="B393" s="17" t="str">
        <f aca="false">Portfolio!B393</f>
        <v>Hospitality</v>
      </c>
      <c r="C393" s="21" t="n">
        <f aca="false">Portfolio!D393</f>
        <v>120246</v>
      </c>
      <c r="D393" s="22" t="n">
        <f aca="false">Portfolio!G393</f>
        <v>0.146624161643928</v>
      </c>
      <c r="E393" s="23" t="n">
        <f aca="false">Portfolio!E393</f>
        <v>0.823</v>
      </c>
      <c r="F393" s="17" t="n">
        <f aca="false">Portfolio!F393</f>
        <v>0</v>
      </c>
      <c r="G393" s="16" t="str">
        <f aca="false">IF(OR(F393&gt;='Cover &amp; Assumptions'!$C$22,Portfolio!I393=1),"Stage 3",IF(OR(F393&gt;=30,D393&gt;'Cover &amp; Assumptions'!$C$21),"Stage 2","Stage 1"))</f>
        <v>Stage 1</v>
      </c>
      <c r="H393" s="16" t="n">
        <f aca="false">IF(G393="Stage 1",12,MIN(Portfolio!H393,60))</f>
        <v>12</v>
      </c>
      <c r="I393" s="24" t="n">
        <f aca="false">1-(1-D393)^(H393/12)</f>
        <v>0.146624161643928</v>
      </c>
      <c r="J393" s="24" t="n">
        <f aca="false">IF(G393="Stage 1",D393,I393)</f>
        <v>0.146624161643928</v>
      </c>
      <c r="K393" s="25" t="n">
        <f aca="false">J393*'Cover &amp; Assumptions'!$D$11*E393*'Cover &amp; Assumptions'!$E$11*C393</f>
        <v>11717.0571065665</v>
      </c>
      <c r="L393" s="25" t="n">
        <f aca="false">J393*'Cover &amp; Assumptions'!$D$12*E393*'Cover &amp; Assumptions'!$E$12*C393</f>
        <v>14510.2874384724</v>
      </c>
      <c r="M393" s="25" t="n">
        <f aca="false">J393*'Cover &amp; Assumptions'!$D$13*E393*'Cover &amp; Assumptions'!$E$13*C393</f>
        <v>25247.900142942</v>
      </c>
      <c r="N393" s="25" t="n">
        <f aca="false">K393*'Cover &amp; Assumptions'!$C$11+L393*'Cover &amp; Assumptions'!$C$12+M393*'Cover &amp; Assumptions'!$C$13</f>
        <v>16636.0445482086</v>
      </c>
    </row>
    <row r="394" customFormat="false" ht="15" hidden="false" customHeight="false" outlineLevel="0" collapsed="false">
      <c r="A394" s="17" t="str">
        <f aca="false">Portfolio!A394</f>
        <v>UKSME-106214</v>
      </c>
      <c r="B394" s="17" t="str">
        <f aca="false">Portfolio!B394</f>
        <v>Transport</v>
      </c>
      <c r="C394" s="21" t="n">
        <f aca="false">Portfolio!D394</f>
        <v>48957</v>
      </c>
      <c r="D394" s="22" t="n">
        <f aca="false">Portfolio!G394</f>
        <v>0.210512556795108</v>
      </c>
      <c r="E394" s="23" t="n">
        <f aca="false">Portfolio!E394</f>
        <v>0.096</v>
      </c>
      <c r="F394" s="17" t="n">
        <f aca="false">Portfolio!F394</f>
        <v>0</v>
      </c>
      <c r="G394" s="16" t="str">
        <f aca="false">IF(OR(F394&gt;='Cover &amp; Assumptions'!$C$22,Portfolio!I394=1),"Stage 3",IF(OR(F394&gt;=30,D394&gt;'Cover &amp; Assumptions'!$C$21),"Stage 2","Stage 1"))</f>
        <v>Stage 2</v>
      </c>
      <c r="H394" s="16" t="n">
        <f aca="false">IF(G394="Stage 1",12,MIN(Portfolio!H394,60))</f>
        <v>60</v>
      </c>
      <c r="I394" s="24" t="n">
        <f aca="false">1-(1-D394)^(H394/12)</f>
        <v>0.693291272089658</v>
      </c>
      <c r="J394" s="24" t="n">
        <f aca="false">IF(G394="Stage 1",D394,I394)</f>
        <v>0.693291272089658</v>
      </c>
      <c r="K394" s="25" t="n">
        <f aca="false">J394*'Cover &amp; Assumptions'!$D$11*E394*'Cover &amp; Assumptions'!$E$11*C394</f>
        <v>2631.14204181239</v>
      </c>
      <c r="L394" s="25" t="n">
        <f aca="false">J394*'Cover &amp; Assumptions'!$D$12*E394*'Cover &amp; Assumptions'!$E$12*C394</f>
        <v>3258.38023753856</v>
      </c>
      <c r="M394" s="25" t="n">
        <f aca="false">J394*'Cover &amp; Assumptions'!$D$13*E394*'Cover &amp; Assumptions'!$E$13*C394</f>
        <v>5669.5816133171</v>
      </c>
      <c r="N394" s="25" t="n">
        <f aca="false">K394*'Cover &amp; Assumptions'!$C$11+L394*'Cover &amp; Assumptions'!$C$12+M394*'Cover &amp; Assumptions'!$C$13</f>
        <v>3735.73294233796</v>
      </c>
    </row>
    <row r="395" customFormat="false" ht="15" hidden="false" customHeight="false" outlineLevel="0" collapsed="false">
      <c r="A395" s="17" t="str">
        <f aca="false">Portfolio!A395</f>
        <v>UKSME-106527</v>
      </c>
      <c r="B395" s="17" t="str">
        <f aca="false">Portfolio!B395</f>
        <v>Hospitality</v>
      </c>
      <c r="C395" s="21" t="n">
        <f aca="false">Portfolio!D395</f>
        <v>41057</v>
      </c>
      <c r="D395" s="22" t="n">
        <f aca="false">Portfolio!G395</f>
        <v>0.001</v>
      </c>
      <c r="E395" s="23" t="n">
        <f aca="false">Portfolio!E395</f>
        <v>0.585</v>
      </c>
      <c r="F395" s="17" t="n">
        <f aca="false">Portfolio!F395</f>
        <v>0</v>
      </c>
      <c r="G395" s="16" t="str">
        <f aca="false">IF(OR(F395&gt;='Cover &amp; Assumptions'!$C$22,Portfolio!I395=1),"Stage 3",IF(OR(F395&gt;=30,D395&gt;'Cover &amp; Assumptions'!$C$21),"Stage 2","Stage 1"))</f>
        <v>Stage 1</v>
      </c>
      <c r="H395" s="16" t="n">
        <f aca="false">IF(G395="Stage 1",12,MIN(Portfolio!H395,60))</f>
        <v>12</v>
      </c>
      <c r="I395" s="24" t="n">
        <f aca="false">1-(1-D395)^(H395/12)</f>
        <v>0.001</v>
      </c>
      <c r="J395" s="24" t="n">
        <f aca="false">IF(G395="Stage 1",D395,I395)</f>
        <v>0.001</v>
      </c>
      <c r="K395" s="25" t="n">
        <f aca="false">J395*'Cover &amp; Assumptions'!$D$11*E395*'Cover &amp; Assumptions'!$E$11*C395</f>
        <v>19.3948135875</v>
      </c>
      <c r="L395" s="25" t="n">
        <f aca="false">J395*'Cover &amp; Assumptions'!$D$12*E395*'Cover &amp; Assumptions'!$E$12*C395</f>
        <v>24.018345</v>
      </c>
      <c r="M395" s="25" t="n">
        <f aca="false">J395*'Cover &amp; Assumptions'!$D$13*E395*'Cover &amp; Assumptions'!$E$13*C395</f>
        <v>41.7919203</v>
      </c>
      <c r="N395" s="25" t="n">
        <f aca="false">K395*'Cover &amp; Assumptions'!$C$11+L395*'Cover &amp; Assumptions'!$C$12+M395*'Cover &amp; Assumptions'!$C$13</f>
        <v>27.5370325425</v>
      </c>
    </row>
    <row r="396" customFormat="false" ht="15" hidden="false" customHeight="false" outlineLevel="0" collapsed="false">
      <c r="A396" s="17" t="str">
        <f aca="false">Portfolio!A396</f>
        <v>UKSME-105219</v>
      </c>
      <c r="B396" s="17" t="str">
        <f aca="false">Portfolio!B396</f>
        <v>Retail</v>
      </c>
      <c r="C396" s="21" t="n">
        <f aca="false">Portfolio!D396</f>
        <v>242959</v>
      </c>
      <c r="D396" s="22" t="n">
        <f aca="false">Portfolio!G396</f>
        <v>0.0186544673328163</v>
      </c>
      <c r="E396" s="23" t="n">
        <f aca="false">Portfolio!E396</f>
        <v>0.305</v>
      </c>
      <c r="F396" s="17" t="n">
        <f aca="false">Portfolio!F396</f>
        <v>0</v>
      </c>
      <c r="G396" s="16" t="str">
        <f aca="false">IF(OR(F396&gt;='Cover &amp; Assumptions'!$C$22,Portfolio!I396=1),"Stage 3",IF(OR(F396&gt;=30,D396&gt;'Cover &amp; Assumptions'!$C$21),"Stage 2","Stage 1"))</f>
        <v>Stage 1</v>
      </c>
      <c r="H396" s="16" t="n">
        <f aca="false">IF(G396="Stage 1",12,MIN(Portfolio!H396,60))</f>
        <v>12</v>
      </c>
      <c r="I396" s="24" t="n">
        <f aca="false">1-(1-D396)^(H396/12)</f>
        <v>0.0186544673328163</v>
      </c>
      <c r="J396" s="24" t="n">
        <f aca="false">IF(G396="Stage 1",D396,I396)</f>
        <v>0.0186544673328163</v>
      </c>
      <c r="K396" s="25" t="n">
        <f aca="false">J396*'Cover &amp; Assumptions'!$D$11*E396*'Cover &amp; Assumptions'!$E$11*C396</f>
        <v>1116.24162709808</v>
      </c>
      <c r="L396" s="25" t="n">
        <f aca="false">J396*'Cover &amp; Assumptions'!$D$12*E396*'Cover &amp; Assumptions'!$E$12*C396</f>
        <v>1382.34257225768</v>
      </c>
      <c r="M396" s="25" t="n">
        <f aca="false">J396*'Cover &amp; Assumptions'!$D$13*E396*'Cover &amp; Assumptions'!$E$13*C396</f>
        <v>2405.27607572837</v>
      </c>
      <c r="N396" s="25" t="n">
        <f aca="false">K396*'Cover &amp; Assumptions'!$C$11+L396*'Cover &amp; Assumptions'!$C$12+M396*'Cover &amp; Assumptions'!$C$13</f>
        <v>1584.85575909343</v>
      </c>
    </row>
    <row r="397" customFormat="false" ht="15" hidden="false" customHeight="false" outlineLevel="0" collapsed="false">
      <c r="A397" s="17" t="str">
        <f aca="false">Portfolio!A397</f>
        <v>UKSME-105972</v>
      </c>
      <c r="B397" s="17" t="str">
        <f aca="false">Portfolio!B397</f>
        <v>Transport</v>
      </c>
      <c r="C397" s="21" t="n">
        <f aca="false">Portfolio!D397</f>
        <v>18645</v>
      </c>
      <c r="D397" s="22" t="n">
        <f aca="false">Portfolio!G397</f>
        <v>0.178911744344765</v>
      </c>
      <c r="E397" s="23" t="n">
        <f aca="false">Portfolio!E397</f>
        <v>0.728</v>
      </c>
      <c r="F397" s="17" t="n">
        <f aca="false">Portfolio!F397</f>
        <v>0</v>
      </c>
      <c r="G397" s="16" t="str">
        <f aca="false">IF(OR(F397&gt;='Cover &amp; Assumptions'!$C$22,Portfolio!I397=1),"Stage 3",IF(OR(F397&gt;=30,D397&gt;'Cover &amp; Assumptions'!$C$21),"Stage 2","Stage 1"))</f>
        <v>Stage 2</v>
      </c>
      <c r="H397" s="16" t="n">
        <f aca="false">IF(G397="Stage 1",12,MIN(Portfolio!H397,60))</f>
        <v>24</v>
      </c>
      <c r="I397" s="24" t="n">
        <f aca="false">1-(1-D397)^(H397/12)</f>
        <v>0.325814076425044</v>
      </c>
      <c r="J397" s="24" t="n">
        <f aca="false">IF(G397="Stage 1",D397,I397)</f>
        <v>0.325814076425044</v>
      </c>
      <c r="K397" s="25" t="n">
        <f aca="false">J397*'Cover &amp; Assumptions'!$D$11*E397*'Cover &amp; Assumptions'!$E$11*C397</f>
        <v>3571.13395902393</v>
      </c>
      <c r="L397" s="25" t="n">
        <f aca="false">J397*'Cover &amp; Assumptions'!$D$12*E397*'Cover &amp; Assumptions'!$E$12*C397</f>
        <v>4422.45691519991</v>
      </c>
      <c r="M397" s="25" t="n">
        <f aca="false">J397*'Cover &amp; Assumptions'!$D$13*E397*'Cover &amp; Assumptions'!$E$13*C397</f>
        <v>7695.07503244785</v>
      </c>
      <c r="N397" s="25" t="n">
        <f aca="false">K397*'Cover &amp; Assumptions'!$C$11+L397*'Cover &amp; Assumptions'!$C$12+M397*'Cover &amp; Assumptions'!$C$13</f>
        <v>5070.3468532767</v>
      </c>
    </row>
    <row r="398" customFormat="false" ht="15" hidden="false" customHeight="false" outlineLevel="0" collapsed="false">
      <c r="A398" s="17" t="str">
        <f aca="false">Portfolio!A398</f>
        <v>UKSME-101384</v>
      </c>
      <c r="B398" s="17" t="str">
        <f aca="false">Portfolio!B398</f>
        <v>Retail</v>
      </c>
      <c r="C398" s="21" t="n">
        <f aca="false">Portfolio!D398</f>
        <v>44976</v>
      </c>
      <c r="D398" s="22" t="n">
        <f aca="false">Portfolio!G398</f>
        <v>0.116060895050229</v>
      </c>
      <c r="E398" s="23" t="n">
        <f aca="false">Portfolio!E398</f>
        <v>0.318</v>
      </c>
      <c r="F398" s="17" t="n">
        <f aca="false">Portfolio!F398</f>
        <v>0</v>
      </c>
      <c r="G398" s="16" t="str">
        <f aca="false">IF(OR(F398&gt;='Cover &amp; Assumptions'!$C$22,Portfolio!I398=1),"Stage 3",IF(OR(F398&gt;=30,D398&gt;'Cover &amp; Assumptions'!$C$21),"Stage 2","Stage 1"))</f>
        <v>Stage 1</v>
      </c>
      <c r="H398" s="16" t="n">
        <f aca="false">IF(G398="Stage 1",12,MIN(Portfolio!H398,60))</f>
        <v>12</v>
      </c>
      <c r="I398" s="24" t="n">
        <f aca="false">1-(1-D398)^(H398/12)</f>
        <v>0.116060895050229</v>
      </c>
      <c r="J398" s="24" t="n">
        <f aca="false">IF(G398="Stage 1",D398,I398)</f>
        <v>0.116060895050229</v>
      </c>
      <c r="K398" s="25" t="n">
        <f aca="false">J398*'Cover &amp; Assumptions'!$D$11*E398*'Cover &amp; Assumptions'!$E$11*C398</f>
        <v>1340.40609736984</v>
      </c>
      <c r="L398" s="25" t="n">
        <f aca="false">J398*'Cover &amp; Assumptions'!$D$12*E398*'Cover &amp; Assumptions'!$E$12*C398</f>
        <v>1659.94563141776</v>
      </c>
      <c r="M398" s="25" t="n">
        <f aca="false">J398*'Cover &amp; Assumptions'!$D$13*E398*'Cover &amp; Assumptions'!$E$13*C398</f>
        <v>2888.30539866689</v>
      </c>
      <c r="N398" s="25" t="n">
        <f aca="false">K398*'Cover &amp; Assumptions'!$C$11+L398*'Cover &amp; Assumptions'!$C$12+M398*'Cover &amp; Assumptions'!$C$13</f>
        <v>1903.12766642046</v>
      </c>
    </row>
    <row r="399" customFormat="false" ht="15" hidden="false" customHeight="false" outlineLevel="0" collapsed="false">
      <c r="A399" s="17" t="str">
        <f aca="false">Portfolio!A399</f>
        <v>UKSME-103116</v>
      </c>
      <c r="B399" s="17" t="str">
        <f aca="false">Portfolio!B399</f>
        <v>Real Estate</v>
      </c>
      <c r="C399" s="21" t="n">
        <f aca="false">Portfolio!D399</f>
        <v>33094</v>
      </c>
      <c r="D399" s="22" t="n">
        <f aca="false">Portfolio!G399</f>
        <v>0.222756886663429</v>
      </c>
      <c r="E399" s="23" t="n">
        <f aca="false">Portfolio!E399</f>
        <v>0.3</v>
      </c>
      <c r="F399" s="17" t="n">
        <f aca="false">Portfolio!F399</f>
        <v>0</v>
      </c>
      <c r="G399" s="16" t="str">
        <f aca="false">IF(OR(F399&gt;='Cover &amp; Assumptions'!$C$22,Portfolio!I399=1),"Stage 3",IF(OR(F399&gt;=30,D399&gt;'Cover &amp; Assumptions'!$C$21),"Stage 2","Stage 1"))</f>
        <v>Stage 2</v>
      </c>
      <c r="H399" s="16" t="n">
        <f aca="false">IF(G399="Stage 1",12,MIN(Portfolio!H399,60))</f>
        <v>60</v>
      </c>
      <c r="I399" s="24" t="n">
        <f aca="false">1-(1-D399)^(H399/12)</f>
        <v>0.716348938203178</v>
      </c>
      <c r="J399" s="24" t="n">
        <f aca="false">IF(G399="Stage 1",D399,I399)</f>
        <v>0.716348938203178</v>
      </c>
      <c r="K399" s="25" t="n">
        <f aca="false">J399*'Cover &amp; Assumptions'!$D$11*E399*'Cover &amp; Assumptions'!$E$11*C399</f>
        <v>5742.98483907705</v>
      </c>
      <c r="L399" s="25" t="n">
        <f aca="false">J399*'Cover &amp; Assumptions'!$D$12*E399*'Cover &amp; Assumptions'!$E$12*C399</f>
        <v>7112.05552826879</v>
      </c>
      <c r="M399" s="25" t="n">
        <f aca="false">J399*'Cover &amp; Assumptions'!$D$13*E399*'Cover &amp; Assumptions'!$E$13*C399</f>
        <v>12374.9766191877</v>
      </c>
      <c r="N399" s="25" t="n">
        <f aca="false">K399*'Cover &amp; Assumptions'!$C$11+L399*'Cover &amp; Assumptions'!$C$12+M399*'Cover &amp; Assumptions'!$C$13</f>
        <v>8153.97166316017</v>
      </c>
    </row>
    <row r="400" customFormat="false" ht="15" hidden="false" customHeight="false" outlineLevel="0" collapsed="false">
      <c r="A400" s="17" t="str">
        <f aca="false">Portfolio!A400</f>
        <v>UKSME-102034</v>
      </c>
      <c r="B400" s="17" t="str">
        <f aca="false">Portfolio!B400</f>
        <v>Manufacturing</v>
      </c>
      <c r="C400" s="21" t="n">
        <f aca="false">Portfolio!D400</f>
        <v>38014</v>
      </c>
      <c r="D400" s="22" t="n">
        <f aca="false">Portfolio!G400</f>
        <v>0.0411421077442488</v>
      </c>
      <c r="E400" s="23" t="n">
        <f aca="false">Portfolio!E400</f>
        <v>0.341</v>
      </c>
      <c r="F400" s="17" t="n">
        <f aca="false">Portfolio!F400</f>
        <v>0</v>
      </c>
      <c r="G400" s="16" t="str">
        <f aca="false">IF(OR(F400&gt;='Cover &amp; Assumptions'!$C$22,Portfolio!I400=1),"Stage 3",IF(OR(F400&gt;=30,D400&gt;'Cover &amp; Assumptions'!$C$21),"Stage 2","Stage 1"))</f>
        <v>Stage 1</v>
      </c>
      <c r="H400" s="16" t="n">
        <f aca="false">IF(G400="Stage 1",12,MIN(Portfolio!H400,60))</f>
        <v>12</v>
      </c>
      <c r="I400" s="24" t="n">
        <f aca="false">1-(1-D400)^(H400/12)</f>
        <v>0.0411421077442488</v>
      </c>
      <c r="J400" s="24" t="n">
        <f aca="false">IF(G400="Stage 1",D400,I400)</f>
        <v>0.0411421077442488</v>
      </c>
      <c r="K400" s="25" t="n">
        <f aca="false">J400*'Cover &amp; Assumptions'!$D$11*E400*'Cover &amp; Assumptions'!$E$11*C400</f>
        <v>430.65254449217</v>
      </c>
      <c r="L400" s="25" t="n">
        <f aca="false">J400*'Cover &amp; Assumptions'!$D$12*E400*'Cover &amp; Assumptions'!$E$12*C400</f>
        <v>533.315844572347</v>
      </c>
      <c r="M400" s="25" t="n">
        <f aca="false">J400*'Cover &amp; Assumptions'!$D$13*E400*'Cover &amp; Assumptions'!$E$13*C400</f>
        <v>927.969569555884</v>
      </c>
      <c r="N400" s="25" t="n">
        <f aca="false">K400*'Cover &amp; Assumptions'!$C$11+L400*'Cover &amp; Assumptions'!$C$12+M400*'Cover &amp; Assumptions'!$C$13</f>
        <v>611.446615802196</v>
      </c>
    </row>
    <row r="401" customFormat="false" ht="15" hidden="false" customHeight="false" outlineLevel="0" collapsed="false">
      <c r="A401" s="17" t="str">
        <f aca="false">Portfolio!A401</f>
        <v>UKSME-102466</v>
      </c>
      <c r="B401" s="17" t="str">
        <f aca="false">Portfolio!B401</f>
        <v>Wholesale</v>
      </c>
      <c r="C401" s="21" t="n">
        <f aca="false">Portfolio!D401</f>
        <v>15731</v>
      </c>
      <c r="D401" s="22" t="n">
        <f aca="false">Portfolio!G401</f>
        <v>0.140957054379959</v>
      </c>
      <c r="E401" s="23" t="n">
        <f aca="false">Portfolio!E401</f>
        <v>0.925</v>
      </c>
      <c r="F401" s="17" t="n">
        <f aca="false">Portfolio!F401</f>
        <v>0</v>
      </c>
      <c r="G401" s="16" t="str">
        <f aca="false">IF(OR(F401&gt;='Cover &amp; Assumptions'!$C$22,Portfolio!I401=1),"Stage 3",IF(OR(F401&gt;=30,D401&gt;'Cover &amp; Assumptions'!$C$21),"Stage 2","Stage 1"))</f>
        <v>Stage 1</v>
      </c>
      <c r="H401" s="16" t="n">
        <f aca="false">IF(G401="Stage 1",12,MIN(Portfolio!H401,60))</f>
        <v>12</v>
      </c>
      <c r="I401" s="24" t="n">
        <f aca="false">1-(1-D401)^(H401/12)</f>
        <v>0.140957054379959</v>
      </c>
      <c r="J401" s="24" t="n">
        <f aca="false">IF(G401="Stage 1",D401,I401)</f>
        <v>0.140957054379959</v>
      </c>
      <c r="K401" s="25" t="n">
        <f aca="false">J401*'Cover &amp; Assumptions'!$D$11*E401*'Cover &amp; Assumptions'!$E$11*C401</f>
        <v>1656.25579335709</v>
      </c>
      <c r="L401" s="25" t="n">
        <f aca="false">J401*'Cover &amp; Assumptions'!$D$12*E401*'Cover &amp; Assumptions'!$E$12*C401</f>
        <v>2051.0907657673</v>
      </c>
      <c r="M401" s="25" t="n">
        <f aca="false">J401*'Cover &amp; Assumptions'!$D$13*E401*'Cover &amp; Assumptions'!$E$13*C401</f>
        <v>3568.8979324351</v>
      </c>
      <c r="N401" s="25" t="n">
        <f aca="false">K401*'Cover &amp; Assumptions'!$C$11+L401*'Cover &amp; Assumptions'!$C$12+M401*'Cover &amp; Assumptions'!$C$13</f>
        <v>2351.57556295221</v>
      </c>
    </row>
    <row r="402" customFormat="false" ht="15" hidden="false" customHeight="false" outlineLevel="0" collapsed="false">
      <c r="A402" s="17" t="str">
        <f aca="false">Portfolio!A402</f>
        <v>UKSME-102411</v>
      </c>
      <c r="B402" s="17" t="str">
        <f aca="false">Portfolio!B402</f>
        <v>Healthcare</v>
      </c>
      <c r="C402" s="21" t="n">
        <f aca="false">Portfolio!D402</f>
        <v>64174</v>
      </c>
      <c r="D402" s="22" t="n">
        <f aca="false">Portfolio!G402</f>
        <v>0.237168021537265</v>
      </c>
      <c r="E402" s="23" t="n">
        <f aca="false">Portfolio!E402</f>
        <v>0.325</v>
      </c>
      <c r="F402" s="17" t="n">
        <f aca="false">Portfolio!F402</f>
        <v>0</v>
      </c>
      <c r="G402" s="16" t="str">
        <f aca="false">IF(OR(F402&gt;='Cover &amp; Assumptions'!$C$22,Portfolio!I402=1),"Stage 3",IF(OR(F402&gt;=30,D402&gt;'Cover &amp; Assumptions'!$C$21),"Stage 2","Stage 1"))</f>
        <v>Stage 2</v>
      </c>
      <c r="H402" s="16" t="n">
        <f aca="false">IF(G402="Stage 1",12,MIN(Portfolio!H402,60))</f>
        <v>48</v>
      </c>
      <c r="I402" s="24" t="n">
        <f aca="false">1-(1-D402)^(H402/12)</f>
        <v>0.661377694112731</v>
      </c>
      <c r="J402" s="24" t="n">
        <f aca="false">IF(G402="Stage 1",D402,I402)</f>
        <v>0.661377694112731</v>
      </c>
      <c r="K402" s="25" t="n">
        <f aca="false">J402*'Cover &amp; Assumptions'!$D$11*E402*'Cover &amp; Assumptions'!$E$11*C402</f>
        <v>11138.7009840136</v>
      </c>
      <c r="L402" s="25" t="n">
        <f aca="false">J402*'Cover &amp; Assumptions'!$D$12*E402*'Cover &amp; Assumptions'!$E$12*C402</f>
        <v>13794.0569461469</v>
      </c>
      <c r="M402" s="25" t="n">
        <f aca="false">J402*'Cover &amp; Assumptions'!$D$13*E402*'Cover &amp; Assumptions'!$E$13*C402</f>
        <v>24001.6590862956</v>
      </c>
      <c r="N402" s="25" t="n">
        <f aca="false">K402*'Cover &amp; Assumptions'!$C$11+L402*'Cover &amp; Assumptions'!$C$12+M402*'Cover &amp; Assumptions'!$C$13</f>
        <v>15814.8862887574</v>
      </c>
    </row>
    <row r="403" customFormat="false" ht="15" hidden="false" customHeight="false" outlineLevel="0" collapsed="false">
      <c r="A403" s="17" t="str">
        <f aca="false">Portfolio!A403</f>
        <v>UKSME-108747</v>
      </c>
      <c r="B403" s="17" t="str">
        <f aca="false">Portfolio!B403</f>
        <v>Hospitality</v>
      </c>
      <c r="C403" s="21" t="n">
        <f aca="false">Portfolio!D403</f>
        <v>1262480</v>
      </c>
      <c r="D403" s="22" t="n">
        <f aca="false">Portfolio!G403</f>
        <v>0.283227344693743</v>
      </c>
      <c r="E403" s="23" t="n">
        <f aca="false">Portfolio!E403</f>
        <v>0.176</v>
      </c>
      <c r="F403" s="17" t="n">
        <f aca="false">Portfolio!F403</f>
        <v>5</v>
      </c>
      <c r="G403" s="16" t="str">
        <f aca="false">IF(OR(F403&gt;='Cover &amp; Assumptions'!$C$22,Portfolio!I403=1),"Stage 3",IF(OR(F403&gt;=30,D403&gt;'Cover &amp; Assumptions'!$C$21),"Stage 2","Stage 1"))</f>
        <v>Stage 2</v>
      </c>
      <c r="H403" s="16" t="n">
        <f aca="false">IF(G403="Stage 1",12,MIN(Portfolio!H403,60))</f>
        <v>36</v>
      </c>
      <c r="I403" s="24" t="n">
        <f aca="false">1-(1-D403)^(H403/12)</f>
        <v>0.631748702054789</v>
      </c>
      <c r="J403" s="24" t="n">
        <f aca="false">IF(G403="Stage 1",D403,I403)</f>
        <v>0.631748702054789</v>
      </c>
      <c r="K403" s="25" t="n">
        <f aca="false">J403*'Cover &amp; Assumptions'!$D$11*E403*'Cover &amp; Assumptions'!$E$11*C403</f>
        <v>113350.662806723</v>
      </c>
      <c r="L403" s="25" t="n">
        <f aca="false">J403*'Cover &amp; Assumptions'!$D$12*E403*'Cover &amp; Assumptions'!$E$12*C403</f>
        <v>140372.337841143</v>
      </c>
      <c r="M403" s="25" t="n">
        <f aca="false">J403*'Cover &amp; Assumptions'!$D$13*E403*'Cover &amp; Assumptions'!$E$13*C403</f>
        <v>244247.867843589</v>
      </c>
      <c r="N403" s="25" t="n">
        <f aca="false">K403*'Cover &amp; Assumptions'!$C$11+L403*'Cover &amp; Assumptions'!$C$12+M403*'Cover &amp; Assumptions'!$C$13</f>
        <v>160936.88533487</v>
      </c>
    </row>
    <row r="404" customFormat="false" ht="15" hidden="false" customHeight="false" outlineLevel="0" collapsed="false">
      <c r="A404" s="17" t="str">
        <f aca="false">Portfolio!A404</f>
        <v>UKSME-107001</v>
      </c>
      <c r="B404" s="17" t="str">
        <f aca="false">Portfolio!B404</f>
        <v>Real Estate</v>
      </c>
      <c r="C404" s="21" t="n">
        <f aca="false">Portfolio!D404</f>
        <v>174412</v>
      </c>
      <c r="D404" s="22" t="n">
        <f aca="false">Portfolio!G404</f>
        <v>0.144082248236493</v>
      </c>
      <c r="E404" s="23" t="n">
        <f aca="false">Portfolio!E404</f>
        <v>0.233</v>
      </c>
      <c r="F404" s="17" t="n">
        <f aca="false">Portfolio!F404</f>
        <v>0</v>
      </c>
      <c r="G404" s="16" t="str">
        <f aca="false">IF(OR(F404&gt;='Cover &amp; Assumptions'!$C$22,Portfolio!I404=1),"Stage 3",IF(OR(F404&gt;=30,D404&gt;'Cover &amp; Assumptions'!$C$21),"Stage 2","Stage 1"))</f>
        <v>Stage 1</v>
      </c>
      <c r="H404" s="16" t="n">
        <f aca="false">IF(G404="Stage 1",12,MIN(Portfolio!H404,60))</f>
        <v>12</v>
      </c>
      <c r="I404" s="24" t="n">
        <f aca="false">1-(1-D404)^(H404/12)</f>
        <v>0.144082248236493</v>
      </c>
      <c r="J404" s="24" t="n">
        <f aca="false">IF(G404="Stage 1",D404,I404)</f>
        <v>0.144082248236493</v>
      </c>
      <c r="K404" s="25" t="n">
        <f aca="false">J404*'Cover &amp; Assumptions'!$D$11*E404*'Cover &amp; Assumptions'!$E$11*C404</f>
        <v>4728.08516571076</v>
      </c>
      <c r="L404" s="25" t="n">
        <f aca="false">J404*'Cover &amp; Assumptions'!$D$12*E404*'Cover &amp; Assumptions'!$E$12*C404</f>
        <v>5855.21382750559</v>
      </c>
      <c r="M404" s="25" t="n">
        <f aca="false">J404*'Cover &amp; Assumptions'!$D$13*E404*'Cover &amp; Assumptions'!$E$13*C404</f>
        <v>10188.0720598597</v>
      </c>
      <c r="N404" s="25" t="n">
        <f aca="false">K404*'Cover &amp; Assumptions'!$C$11+L404*'Cover &amp; Assumptions'!$C$12+M404*'Cover &amp; Assumptions'!$C$13</f>
        <v>6713.00265323516</v>
      </c>
    </row>
    <row r="405" customFormat="false" ht="15" hidden="false" customHeight="false" outlineLevel="0" collapsed="false">
      <c r="A405" s="17" t="str">
        <f aca="false">Portfolio!A405</f>
        <v>UKSME-100639</v>
      </c>
      <c r="B405" s="17" t="str">
        <f aca="false">Portfolio!B405</f>
        <v>Manufacturing</v>
      </c>
      <c r="C405" s="21" t="n">
        <f aca="false">Portfolio!D405</f>
        <v>24815</v>
      </c>
      <c r="D405" s="22" t="n">
        <f aca="false">Portfolio!G405</f>
        <v>0.260675160517872</v>
      </c>
      <c r="E405" s="23" t="n">
        <f aca="false">Portfolio!E405</f>
        <v>0.662</v>
      </c>
      <c r="F405" s="17" t="n">
        <f aca="false">Portfolio!F405</f>
        <v>0</v>
      </c>
      <c r="G405" s="16" t="str">
        <f aca="false">IF(OR(F405&gt;='Cover &amp; Assumptions'!$C$22,Portfolio!I405=1),"Stage 3",IF(OR(F405&gt;=30,D405&gt;'Cover &amp; Assumptions'!$C$21),"Stage 2","Stage 1"))</f>
        <v>Stage 3</v>
      </c>
      <c r="H405" s="16" t="n">
        <f aca="false">IF(G405="Stage 1",12,MIN(Portfolio!H405,60))</f>
        <v>60</v>
      </c>
      <c r="I405" s="24" t="n">
        <f aca="false">1-(1-D405)^(H405/12)</f>
        <v>0.779109779713557</v>
      </c>
      <c r="J405" s="24" t="n">
        <f aca="false">IF(G405="Stage 1",D405,I405)</f>
        <v>0.779109779713557</v>
      </c>
      <c r="K405" s="25" t="n">
        <f aca="false">J405*'Cover &amp; Assumptions'!$D$11*E405*'Cover &amp; Assumptions'!$E$11*C405</f>
        <v>10335.0707932268</v>
      </c>
      <c r="L405" s="25" t="n">
        <f aca="false">J405*'Cover &amp; Assumptions'!$D$12*E405*'Cover &amp; Assumptions'!$E$12*C405</f>
        <v>12798.8492795379</v>
      </c>
      <c r="M405" s="25" t="n">
        <f aca="false">J405*'Cover &amp; Assumptions'!$D$13*E405*'Cover &amp; Assumptions'!$E$13*C405</f>
        <v>22269.9977463959</v>
      </c>
      <c r="N405" s="25" t="n">
        <f aca="false">K405*'Cover &amp; Assumptions'!$C$11+L405*'Cover &amp; Assumptions'!$C$12+M405*'Cover &amp; Assumptions'!$C$13</f>
        <v>14673.8806989902</v>
      </c>
    </row>
    <row r="406" customFormat="false" ht="15" hidden="false" customHeight="false" outlineLevel="0" collapsed="false">
      <c r="A406" s="17" t="str">
        <f aca="false">Portfolio!A406</f>
        <v>UKSME-103436</v>
      </c>
      <c r="B406" s="17" t="str">
        <f aca="false">Portfolio!B406</f>
        <v>Construction</v>
      </c>
      <c r="C406" s="21" t="n">
        <f aca="false">Portfolio!D406</f>
        <v>205332</v>
      </c>
      <c r="D406" s="22" t="n">
        <f aca="false">Portfolio!G406</f>
        <v>0.0046626307996028</v>
      </c>
      <c r="E406" s="23" t="n">
        <f aca="false">Portfolio!E406</f>
        <v>0.247</v>
      </c>
      <c r="F406" s="17" t="n">
        <f aca="false">Portfolio!F406</f>
        <v>0</v>
      </c>
      <c r="G406" s="16" t="str">
        <f aca="false">IF(OR(F406&gt;='Cover &amp; Assumptions'!$C$22,Portfolio!I406=1),"Stage 3",IF(OR(F406&gt;=30,D406&gt;'Cover &amp; Assumptions'!$C$21),"Stage 2","Stage 1"))</f>
        <v>Stage 1</v>
      </c>
      <c r="H406" s="16" t="n">
        <f aca="false">IF(G406="Stage 1",12,MIN(Portfolio!H406,60))</f>
        <v>12</v>
      </c>
      <c r="I406" s="24" t="n">
        <f aca="false">1-(1-D406)^(H406/12)</f>
        <v>0.00466263079960283</v>
      </c>
      <c r="J406" s="24" t="n">
        <f aca="false">IF(G406="Stage 1",D406,I406)</f>
        <v>0.0046626307996028</v>
      </c>
      <c r="K406" s="25" t="n">
        <f aca="false">J406*'Cover &amp; Assumptions'!$D$11*E406*'Cover &amp; Assumptions'!$E$11*C406</f>
        <v>190.953291918038</v>
      </c>
      <c r="L406" s="25" t="n">
        <f aca="false">J406*'Cover &amp; Assumptions'!$D$12*E406*'Cover &amp; Assumptions'!$E$12*C406</f>
        <v>236.474664913978</v>
      </c>
      <c r="M406" s="25" t="n">
        <f aca="false">J406*'Cover &amp; Assumptions'!$D$13*E406*'Cover &amp; Assumptions'!$E$13*C406</f>
        <v>411.465916950322</v>
      </c>
      <c r="N406" s="25" t="n">
        <f aca="false">K406*'Cover &amp; Assumptions'!$C$11+L406*'Cover &amp; Assumptions'!$C$12+M406*'Cover &amp; Assumptions'!$C$13</f>
        <v>271.118203323876</v>
      </c>
    </row>
    <row r="407" customFormat="false" ht="15" hidden="false" customHeight="false" outlineLevel="0" collapsed="false">
      <c r="A407" s="17" t="str">
        <f aca="false">Portfolio!A407</f>
        <v>UKSME-104796</v>
      </c>
      <c r="B407" s="17" t="str">
        <f aca="false">Portfolio!B407</f>
        <v>Retail</v>
      </c>
      <c r="C407" s="21" t="n">
        <f aca="false">Portfolio!D407</f>
        <v>206260</v>
      </c>
      <c r="D407" s="22" t="n">
        <f aca="false">Portfolio!G407</f>
        <v>0.199033103641727</v>
      </c>
      <c r="E407" s="23" t="n">
        <f aca="false">Portfolio!E407</f>
        <v>0.05</v>
      </c>
      <c r="F407" s="17" t="n">
        <f aca="false">Portfolio!F407</f>
        <v>0</v>
      </c>
      <c r="G407" s="16" t="str">
        <f aca="false">IF(OR(F407&gt;='Cover &amp; Assumptions'!$C$22,Portfolio!I407=1),"Stage 3",IF(OR(F407&gt;=30,D407&gt;'Cover &amp; Assumptions'!$C$21),"Stage 2","Stage 1"))</f>
        <v>Stage 2</v>
      </c>
      <c r="H407" s="16" t="n">
        <f aca="false">IF(G407="Stage 1",12,MIN(Portfolio!H407,60))</f>
        <v>36</v>
      </c>
      <c r="I407" s="24" t="n">
        <f aca="false">1-(1-D407)^(H407/12)</f>
        <v>0.486141314355614</v>
      </c>
      <c r="J407" s="24" t="n">
        <f aca="false">IF(G407="Stage 1",D407,I407)</f>
        <v>0.486141314355614</v>
      </c>
      <c r="K407" s="25" t="n">
        <f aca="false">J407*'Cover &amp; Assumptions'!$D$11*E407*'Cover &amp; Assumptions'!$E$11*C407</f>
        <v>4048.46211527168</v>
      </c>
      <c r="L407" s="25" t="n">
        <f aca="false">J407*'Cover &amp; Assumptions'!$D$12*E407*'Cover &amp; Assumptions'!$E$12*C407</f>
        <v>5013.57537494945</v>
      </c>
      <c r="M407" s="25" t="n">
        <f aca="false">J407*'Cover &amp; Assumptions'!$D$13*E407*'Cover &amp; Assumptions'!$E$13*C407</f>
        <v>8723.62115241204</v>
      </c>
      <c r="N407" s="25" t="n">
        <f aca="false">K407*'Cover &amp; Assumptions'!$C$11+L407*'Cover &amp; Assumptions'!$C$12+M407*'Cover &amp; Assumptions'!$C$13</f>
        <v>5748.06416737954</v>
      </c>
    </row>
    <row r="408" customFormat="false" ht="15" hidden="false" customHeight="false" outlineLevel="0" collapsed="false">
      <c r="A408" s="17" t="str">
        <f aca="false">Portfolio!A408</f>
        <v>UKSME-106592</v>
      </c>
      <c r="B408" s="17" t="str">
        <f aca="false">Portfolio!B408</f>
        <v>Transport</v>
      </c>
      <c r="C408" s="21" t="n">
        <f aca="false">Portfolio!D408</f>
        <v>383649</v>
      </c>
      <c r="D408" s="22" t="n">
        <f aca="false">Portfolio!G408</f>
        <v>0.133296052237628</v>
      </c>
      <c r="E408" s="23" t="n">
        <f aca="false">Portfolio!E408</f>
        <v>0.169</v>
      </c>
      <c r="F408" s="17" t="n">
        <f aca="false">Portfolio!F408</f>
        <v>0</v>
      </c>
      <c r="G408" s="16" t="str">
        <f aca="false">IF(OR(F408&gt;='Cover &amp; Assumptions'!$C$22,Portfolio!I408=1),"Stage 3",IF(OR(F408&gt;=30,D408&gt;'Cover &amp; Assumptions'!$C$21),"Stage 2","Stage 1"))</f>
        <v>Stage 1</v>
      </c>
      <c r="H408" s="16" t="n">
        <f aca="false">IF(G408="Stage 1",12,MIN(Portfolio!H408,60))</f>
        <v>12</v>
      </c>
      <c r="I408" s="24" t="n">
        <f aca="false">1-(1-D408)^(H408/12)</f>
        <v>0.133296052237628</v>
      </c>
      <c r="J408" s="24" t="n">
        <f aca="false">IF(G408="Stage 1",D408,I408)</f>
        <v>0.133296052237628</v>
      </c>
      <c r="K408" s="25" t="n">
        <f aca="false">J408*'Cover &amp; Assumptions'!$D$11*E408*'Cover &amp; Assumptions'!$E$11*C408</f>
        <v>6978.79744612352</v>
      </c>
      <c r="L408" s="25" t="n">
        <f aca="false">J408*'Cover &amp; Assumptions'!$D$12*E408*'Cover &amp; Assumptions'!$E$12*C408</f>
        <v>8642.47361749042</v>
      </c>
      <c r="M408" s="25" t="n">
        <f aca="false">J408*'Cover &amp; Assumptions'!$D$13*E408*'Cover &amp; Assumptions'!$E$13*C408</f>
        <v>15037.9040944333</v>
      </c>
      <c r="N408" s="25" t="n">
        <f aca="false">K408*'Cover &amp; Assumptions'!$C$11+L408*'Cover &amp; Assumptions'!$C$12+M408*'Cover &amp; Assumptions'!$C$13</f>
        <v>9908.59600245277</v>
      </c>
    </row>
    <row r="409" customFormat="false" ht="15" hidden="false" customHeight="false" outlineLevel="0" collapsed="false">
      <c r="A409" s="17" t="str">
        <f aca="false">Portfolio!A409</f>
        <v>UKSME-102383</v>
      </c>
      <c r="B409" s="17" t="str">
        <f aca="false">Portfolio!B409</f>
        <v>Manufacturing</v>
      </c>
      <c r="C409" s="21" t="n">
        <f aca="false">Portfolio!D409</f>
        <v>69689</v>
      </c>
      <c r="D409" s="22" t="n">
        <f aca="false">Portfolio!G409</f>
        <v>0.218446186390796</v>
      </c>
      <c r="E409" s="23" t="n">
        <f aca="false">Portfolio!E409</f>
        <v>0.78</v>
      </c>
      <c r="F409" s="17" t="n">
        <f aca="false">Portfolio!F409</f>
        <v>0</v>
      </c>
      <c r="G409" s="16" t="str">
        <f aca="false">IF(OR(F409&gt;='Cover &amp; Assumptions'!$C$22,Portfolio!I409=1),"Stage 3",IF(OR(F409&gt;=30,D409&gt;'Cover &amp; Assumptions'!$C$21),"Stage 2","Stage 1"))</f>
        <v>Stage 2</v>
      </c>
      <c r="H409" s="16" t="n">
        <f aca="false">IF(G409="Stage 1",12,MIN(Portfolio!H409,60))</f>
        <v>36</v>
      </c>
      <c r="I409" s="24" t="n">
        <f aca="false">1-(1-D409)^(H409/12)</f>
        <v>0.522606326101097</v>
      </c>
      <c r="J409" s="24" t="n">
        <f aca="false">IF(G409="Stage 1",D409,I409)</f>
        <v>0.522606326101097</v>
      </c>
      <c r="K409" s="25" t="n">
        <f aca="false">J409*'Cover &amp; Assumptions'!$D$11*E409*'Cover &amp; Assumptions'!$E$11*C409</f>
        <v>22939.0817367465</v>
      </c>
      <c r="L409" s="25" t="n">
        <f aca="false">J409*'Cover &amp; Assumptions'!$D$12*E409*'Cover &amp; Assumptions'!$E$12*C409</f>
        <v>28407.5315625343</v>
      </c>
      <c r="M409" s="25" t="n">
        <f aca="false">J409*'Cover &amp; Assumptions'!$D$13*E409*'Cover &amp; Assumptions'!$E$13*C409</f>
        <v>49429.1049188097</v>
      </c>
      <c r="N409" s="25" t="n">
        <f aca="false">K409*'Cover &amp; Assumptions'!$C$11+L409*'Cover &amp; Assumptions'!$C$12+M409*'Cover &amp; Assumptions'!$C$13</f>
        <v>32569.2349364456</v>
      </c>
    </row>
    <row r="410" customFormat="false" ht="15" hidden="false" customHeight="false" outlineLevel="0" collapsed="false">
      <c r="A410" s="17" t="str">
        <f aca="false">Portfolio!A410</f>
        <v>UKSME-106745</v>
      </c>
      <c r="B410" s="17" t="str">
        <f aca="false">Portfolio!B410</f>
        <v>Hospitality</v>
      </c>
      <c r="C410" s="21" t="n">
        <f aca="false">Portfolio!D410</f>
        <v>33825</v>
      </c>
      <c r="D410" s="22" t="n">
        <f aca="false">Portfolio!G410</f>
        <v>0.265910491679723</v>
      </c>
      <c r="E410" s="23" t="n">
        <f aca="false">Portfolio!E410</f>
        <v>0.419</v>
      </c>
      <c r="F410" s="17" t="n">
        <f aca="false">Portfolio!F410</f>
        <v>0</v>
      </c>
      <c r="G410" s="16" t="str">
        <f aca="false">IF(OR(F410&gt;='Cover &amp; Assumptions'!$C$22,Portfolio!I410=1),"Stage 3",IF(OR(F410&gt;=30,D410&gt;'Cover &amp; Assumptions'!$C$21),"Stage 2","Stage 1"))</f>
        <v>Stage 3</v>
      </c>
      <c r="H410" s="16" t="n">
        <f aca="false">IF(G410="Stage 1",12,MIN(Portfolio!H410,60))</f>
        <v>60</v>
      </c>
      <c r="I410" s="24" t="n">
        <f aca="false">1-(1-D410)^(H410/12)</f>
        <v>0.786820673560079</v>
      </c>
      <c r="J410" s="24" t="n">
        <f aca="false">IF(G410="Stage 1",D410,I410)</f>
        <v>0.786820673560079</v>
      </c>
      <c r="K410" s="25" t="n">
        <f aca="false">J410*'Cover &amp; Assumptions'!$D$11*E410*'Cover &amp; Assumptions'!$E$11*C410</f>
        <v>9004.71810439083</v>
      </c>
      <c r="L410" s="25" t="n">
        <f aca="false">J410*'Cover &amp; Assumptions'!$D$12*E410*'Cover &amp; Assumptions'!$E$12*C410</f>
        <v>11151.3536896481</v>
      </c>
      <c r="M410" s="25" t="n">
        <f aca="false">J410*'Cover &amp; Assumptions'!$D$13*E410*'Cover &amp; Assumptions'!$E$13*C410</f>
        <v>19403.3554199877</v>
      </c>
      <c r="N410" s="25" t="n">
        <f aca="false">K410*'Cover &amp; Assumptions'!$C$11+L410*'Cover &amp; Assumptions'!$C$12+M410*'Cover &amp; Assumptions'!$C$13</f>
        <v>12785.0270051815</v>
      </c>
    </row>
    <row r="411" customFormat="false" ht="15" hidden="false" customHeight="false" outlineLevel="0" collapsed="false">
      <c r="A411" s="17" t="str">
        <f aca="false">Portfolio!A411</f>
        <v>UKSME-101970</v>
      </c>
      <c r="B411" s="17" t="str">
        <f aca="false">Portfolio!B411</f>
        <v>Transport</v>
      </c>
      <c r="C411" s="21" t="n">
        <f aca="false">Portfolio!D411</f>
        <v>49705</v>
      </c>
      <c r="D411" s="22" t="n">
        <f aca="false">Portfolio!G411</f>
        <v>0.001</v>
      </c>
      <c r="E411" s="23" t="n">
        <f aca="false">Portfolio!E411</f>
        <v>0.533</v>
      </c>
      <c r="F411" s="17" t="n">
        <f aca="false">Portfolio!F411</f>
        <v>0</v>
      </c>
      <c r="G411" s="16" t="str">
        <f aca="false">IF(OR(F411&gt;='Cover &amp; Assumptions'!$C$22,Portfolio!I411=1),"Stage 3",IF(OR(F411&gt;=30,D411&gt;'Cover &amp; Assumptions'!$C$21),"Stage 2","Stage 1"))</f>
        <v>Stage 1</v>
      </c>
      <c r="H411" s="16" t="n">
        <f aca="false">IF(G411="Stage 1",12,MIN(Portfolio!H411,60))</f>
        <v>12</v>
      </c>
      <c r="I411" s="24" t="n">
        <f aca="false">1-(1-D411)^(H411/12)</f>
        <v>0.001</v>
      </c>
      <c r="J411" s="24" t="n">
        <f aca="false">IF(G411="Stage 1",D411,I411)</f>
        <v>0.001</v>
      </c>
      <c r="K411" s="25" t="n">
        <f aca="false">J411*'Cover &amp; Assumptions'!$D$11*E411*'Cover &amp; Assumptions'!$E$11*C411</f>
        <v>21.3929077375</v>
      </c>
      <c r="L411" s="25" t="n">
        <f aca="false">J411*'Cover &amp; Assumptions'!$D$12*E411*'Cover &amp; Assumptions'!$E$12*C411</f>
        <v>26.492765</v>
      </c>
      <c r="M411" s="25" t="n">
        <f aca="false">J411*'Cover &amp; Assumptions'!$D$13*E411*'Cover &amp; Assumptions'!$E$13*C411</f>
        <v>46.0974111</v>
      </c>
      <c r="N411" s="25" t="n">
        <f aca="false">K411*'Cover &amp; Assumptions'!$C$11+L411*'Cover &amp; Assumptions'!$C$12+M411*'Cover &amp; Assumptions'!$C$13</f>
        <v>30.3739550725</v>
      </c>
    </row>
    <row r="412" customFormat="false" ht="15" hidden="false" customHeight="false" outlineLevel="0" collapsed="false">
      <c r="A412" s="17" t="str">
        <f aca="false">Portfolio!A412</f>
        <v>UKSME-106680</v>
      </c>
      <c r="B412" s="17" t="str">
        <f aca="false">Portfolio!B412</f>
        <v>Construction</v>
      </c>
      <c r="C412" s="21" t="n">
        <f aca="false">Portfolio!D412</f>
        <v>74054</v>
      </c>
      <c r="D412" s="22" t="n">
        <f aca="false">Portfolio!G412</f>
        <v>0.0958983931875124</v>
      </c>
      <c r="E412" s="23" t="n">
        <f aca="false">Portfolio!E412</f>
        <v>0.382</v>
      </c>
      <c r="F412" s="17" t="n">
        <f aca="false">Portfolio!F412</f>
        <v>0</v>
      </c>
      <c r="G412" s="16" t="str">
        <f aca="false">IF(OR(F412&gt;='Cover &amp; Assumptions'!$C$22,Portfolio!I412=1),"Stage 3",IF(OR(F412&gt;=30,D412&gt;'Cover &amp; Assumptions'!$C$21),"Stage 2","Stage 1"))</f>
        <v>Stage 1</v>
      </c>
      <c r="H412" s="16" t="n">
        <f aca="false">IF(G412="Stage 1",12,MIN(Portfolio!H412,60))</f>
        <v>12</v>
      </c>
      <c r="I412" s="24" t="n">
        <f aca="false">1-(1-D412)^(H412/12)</f>
        <v>0.0958983931875124</v>
      </c>
      <c r="J412" s="24" t="n">
        <f aca="false">IF(G412="Stage 1",D412,I412)</f>
        <v>0.0958983931875124</v>
      </c>
      <c r="K412" s="25" t="n">
        <f aca="false">J412*'Cover &amp; Assumptions'!$D$11*E412*'Cover &amp; Assumptions'!$E$11*C412</f>
        <v>2190.61343132351</v>
      </c>
      <c r="L412" s="25" t="n">
        <f aca="false">J412*'Cover &amp; Assumptions'!$D$12*E412*'Cover &amp; Assumptions'!$E$12*C412</f>
        <v>2712.83397067927</v>
      </c>
      <c r="M412" s="25" t="n">
        <f aca="false">J412*'Cover &amp; Assumptions'!$D$13*E412*'Cover &amp; Assumptions'!$E$13*C412</f>
        <v>4720.33110898193</v>
      </c>
      <c r="N412" s="25" t="n">
        <f aca="false">K412*'Cover &amp; Assumptions'!$C$11+L412*'Cover &amp; Assumptions'!$C$12+M412*'Cover &amp; Assumptions'!$C$13</f>
        <v>3110.26414738379</v>
      </c>
    </row>
    <row r="413" customFormat="false" ht="15" hidden="false" customHeight="false" outlineLevel="0" collapsed="false">
      <c r="A413" s="17" t="str">
        <f aca="false">Portfolio!A413</f>
        <v>UKSME-109023</v>
      </c>
      <c r="B413" s="17" t="str">
        <f aca="false">Portfolio!B413</f>
        <v>Real Estate</v>
      </c>
      <c r="C413" s="21" t="n">
        <f aca="false">Portfolio!D413</f>
        <v>149942</v>
      </c>
      <c r="D413" s="22" t="n">
        <f aca="false">Portfolio!G413</f>
        <v>0.19360428202323</v>
      </c>
      <c r="E413" s="23" t="n">
        <f aca="false">Portfolio!E413</f>
        <v>0.206</v>
      </c>
      <c r="F413" s="17" t="n">
        <f aca="false">Portfolio!F413</f>
        <v>0</v>
      </c>
      <c r="G413" s="16" t="str">
        <f aca="false">IF(OR(F413&gt;='Cover &amp; Assumptions'!$C$22,Portfolio!I413=1),"Stage 3",IF(OR(F413&gt;=30,D413&gt;'Cover &amp; Assumptions'!$C$21),"Stage 2","Stage 1"))</f>
        <v>Stage 2</v>
      </c>
      <c r="H413" s="16" t="n">
        <f aca="false">IF(G413="Stage 1",12,MIN(Portfolio!H413,60))</f>
        <v>36</v>
      </c>
      <c r="I413" s="24" t="n">
        <f aca="false">1-(1-D413)^(H413/12)</f>
        <v>0.475621787366172</v>
      </c>
      <c r="J413" s="24" t="n">
        <f aca="false">IF(G413="Stage 1",D413,I413)</f>
        <v>0.475621787366172</v>
      </c>
      <c r="K413" s="25" t="n">
        <f aca="false">J413*'Cover &amp; Assumptions'!$D$11*E413*'Cover &amp; Assumptions'!$E$11*C413</f>
        <v>11863.0071291532</v>
      </c>
      <c r="L413" s="25" t="n">
        <f aca="false">J413*'Cover &amp; Assumptions'!$D$12*E413*'Cover &amp; Assumptions'!$E$12*C413</f>
        <v>14691.0305004993</v>
      </c>
      <c r="M413" s="25" t="n">
        <f aca="false">J413*'Cover &amp; Assumptions'!$D$13*E413*'Cover &amp; Assumptions'!$E$13*C413</f>
        <v>25562.3930708687</v>
      </c>
      <c r="N413" s="25" t="n">
        <f aca="false">K413*'Cover &amp; Assumptions'!$C$11+L413*'Cover &amp; Assumptions'!$C$12+M413*'Cover &amp; Assumptions'!$C$13</f>
        <v>16843.2664688224</v>
      </c>
    </row>
    <row r="414" customFormat="false" ht="15" hidden="false" customHeight="false" outlineLevel="0" collapsed="false">
      <c r="A414" s="17" t="str">
        <f aca="false">Portfolio!A414</f>
        <v>UKSME-103393</v>
      </c>
      <c r="B414" s="17" t="str">
        <f aca="false">Portfolio!B414</f>
        <v>Hospitality</v>
      </c>
      <c r="C414" s="21" t="n">
        <f aca="false">Portfolio!D414</f>
        <v>153209</v>
      </c>
      <c r="D414" s="22" t="n">
        <f aca="false">Portfolio!G414</f>
        <v>0.456938250277478</v>
      </c>
      <c r="E414" s="23" t="n">
        <f aca="false">Portfolio!E414</f>
        <v>0.666</v>
      </c>
      <c r="F414" s="17" t="n">
        <f aca="false">Portfolio!F414</f>
        <v>65</v>
      </c>
      <c r="G414" s="16" t="str">
        <f aca="false">IF(OR(F414&gt;='Cover &amp; Assumptions'!$C$22,Portfolio!I414=1),"Stage 3",IF(OR(F414&gt;=30,D414&gt;'Cover &amp; Assumptions'!$C$21),"Stage 2","Stage 1"))</f>
        <v>Stage 3</v>
      </c>
      <c r="H414" s="16" t="n">
        <f aca="false">IF(G414="Stage 1",12,MIN(Portfolio!H414,60))</f>
        <v>60</v>
      </c>
      <c r="I414" s="24" t="n">
        <f aca="false">1-(1-D414)^(H414/12)</f>
        <v>0.952766941034952</v>
      </c>
      <c r="J414" s="24" t="n">
        <f aca="false">IF(G414="Stage 1",D414,I414)</f>
        <v>0.952766941034952</v>
      </c>
      <c r="K414" s="25" t="n">
        <f aca="false">J414*'Cover &amp; Assumptions'!$D$11*E414*'Cover &amp; Assumptions'!$E$11*C414</f>
        <v>78503.2646483297</v>
      </c>
      <c r="L414" s="25" t="n">
        <f aca="false">J414*'Cover &amp; Assumptions'!$D$12*E414*'Cover &amp; Assumptions'!$E$12*C414</f>
        <v>97217.6651991699</v>
      </c>
      <c r="M414" s="25" t="n">
        <f aca="false">J414*'Cover &amp; Assumptions'!$D$13*E414*'Cover &amp; Assumptions'!$E$13*C414</f>
        <v>169158.737446556</v>
      </c>
      <c r="N414" s="25" t="n">
        <f aca="false">K414*'Cover &amp; Assumptions'!$C$11+L414*'Cover &amp; Assumptions'!$C$12+M414*'Cover &amp; Assumptions'!$C$13</f>
        <v>111460.053150848</v>
      </c>
    </row>
    <row r="415" customFormat="false" ht="15" hidden="false" customHeight="false" outlineLevel="0" collapsed="false">
      <c r="A415" s="17" t="str">
        <f aca="false">Portfolio!A415</f>
        <v>UKSME-104935</v>
      </c>
      <c r="B415" s="17" t="str">
        <f aca="false">Portfolio!B415</f>
        <v>Transport</v>
      </c>
      <c r="C415" s="21" t="n">
        <f aca="false">Portfolio!D415</f>
        <v>54649</v>
      </c>
      <c r="D415" s="22" t="n">
        <f aca="false">Portfolio!G415</f>
        <v>0.165337437474182</v>
      </c>
      <c r="E415" s="23" t="n">
        <f aca="false">Portfolio!E415</f>
        <v>0.211</v>
      </c>
      <c r="F415" s="17" t="n">
        <f aca="false">Portfolio!F415</f>
        <v>0</v>
      </c>
      <c r="G415" s="16" t="str">
        <f aca="false">IF(OR(F415&gt;='Cover &amp; Assumptions'!$C$22,Portfolio!I415=1),"Stage 3",IF(OR(F415&gt;=30,D415&gt;'Cover &amp; Assumptions'!$C$21),"Stage 2","Stage 1"))</f>
        <v>Stage 2</v>
      </c>
      <c r="H415" s="16" t="n">
        <f aca="false">IF(G415="Stage 1",12,MIN(Portfolio!H415,60))</f>
        <v>24</v>
      </c>
      <c r="I415" s="24" t="n">
        <f aca="false">1-(1-D415)^(H415/12)</f>
        <v>0.303338406717835</v>
      </c>
      <c r="J415" s="24" t="n">
        <f aca="false">IF(G415="Stage 1",D415,I415)</f>
        <v>0.303338406717835</v>
      </c>
      <c r="K415" s="25" t="n">
        <f aca="false">J415*'Cover &amp; Assumptions'!$D$11*E415*'Cover &amp; Assumptions'!$E$11*C415</f>
        <v>2824.45465635809</v>
      </c>
      <c r="L415" s="25" t="n">
        <f aca="false">J415*'Cover &amp; Assumptions'!$D$12*E415*'Cover &amp; Assumptions'!$E$12*C415</f>
        <v>3497.77666422054</v>
      </c>
      <c r="M415" s="25" t="n">
        <f aca="false">J415*'Cover &amp; Assumptions'!$D$13*E415*'Cover &amp; Assumptions'!$E$13*C415</f>
        <v>6086.13139574374</v>
      </c>
      <c r="N415" s="25" t="n">
        <f aca="false">K415*'Cover &amp; Assumptions'!$C$11+L415*'Cover &amp; Assumptions'!$C$12+M415*'Cover &amp; Assumptions'!$C$13</f>
        <v>4010.20094552885</v>
      </c>
    </row>
    <row r="416" customFormat="false" ht="15" hidden="false" customHeight="false" outlineLevel="0" collapsed="false">
      <c r="A416" s="17" t="str">
        <f aca="false">Portfolio!A416</f>
        <v>UKSME-101041</v>
      </c>
      <c r="B416" s="17" t="str">
        <f aca="false">Portfolio!B416</f>
        <v>Manufacturing</v>
      </c>
      <c r="C416" s="21" t="n">
        <f aca="false">Portfolio!D416</f>
        <v>48451</v>
      </c>
      <c r="D416" s="22" t="n">
        <f aca="false">Portfolio!G416</f>
        <v>0.077618695912056</v>
      </c>
      <c r="E416" s="23" t="n">
        <f aca="false">Portfolio!E416</f>
        <v>0.827</v>
      </c>
      <c r="F416" s="17" t="n">
        <f aca="false">Portfolio!F416</f>
        <v>0</v>
      </c>
      <c r="G416" s="16" t="str">
        <f aca="false">IF(OR(F416&gt;='Cover &amp; Assumptions'!$C$22,Portfolio!I416=1),"Stage 3",IF(OR(F416&gt;=30,D416&gt;'Cover &amp; Assumptions'!$C$21),"Stage 2","Stage 1"))</f>
        <v>Stage 1</v>
      </c>
      <c r="H416" s="16" t="n">
        <f aca="false">IF(G416="Stage 1",12,MIN(Portfolio!H416,60))</f>
        <v>12</v>
      </c>
      <c r="I416" s="24" t="n">
        <f aca="false">1-(1-D416)^(H416/12)</f>
        <v>0.077618695912056</v>
      </c>
      <c r="J416" s="24" t="n">
        <f aca="false">IF(G416="Stage 1",D416,I416)</f>
        <v>0.077618695912056</v>
      </c>
      <c r="K416" s="25" t="n">
        <f aca="false">J416*'Cover &amp; Assumptions'!$D$11*E416*'Cover &amp; Assumptions'!$E$11*C416</f>
        <v>2511.40715607566</v>
      </c>
      <c r="L416" s="25" t="n">
        <f aca="false">J416*'Cover &amp; Assumptions'!$D$12*E416*'Cover &amp; Assumptions'!$E$12*C416</f>
        <v>3110.10174127017</v>
      </c>
      <c r="M416" s="25" t="n">
        <f aca="false">J416*'Cover &amp; Assumptions'!$D$13*E416*'Cover &amp; Assumptions'!$E$13*C416</f>
        <v>5411.57702981009</v>
      </c>
      <c r="N416" s="25" t="n">
        <f aca="false">K416*'Cover &amp; Assumptions'!$C$11+L416*'Cover &amp; Assumptions'!$C$12+M416*'Cover &amp; Assumptions'!$C$13</f>
        <v>3565.73164636624</v>
      </c>
    </row>
    <row r="417" customFormat="false" ht="15" hidden="false" customHeight="false" outlineLevel="0" collapsed="false">
      <c r="A417" s="17" t="str">
        <f aca="false">Portfolio!A417</f>
        <v>UKSME-104842</v>
      </c>
      <c r="B417" s="17" t="str">
        <f aca="false">Portfolio!B417</f>
        <v>Transport</v>
      </c>
      <c r="C417" s="21" t="n">
        <f aca="false">Portfolio!D417</f>
        <v>72038</v>
      </c>
      <c r="D417" s="22" t="n">
        <f aca="false">Portfolio!G417</f>
        <v>0.108981146996601</v>
      </c>
      <c r="E417" s="23" t="n">
        <f aca="false">Portfolio!E417</f>
        <v>0.552</v>
      </c>
      <c r="F417" s="17" t="n">
        <f aca="false">Portfolio!F417</f>
        <v>0</v>
      </c>
      <c r="G417" s="16" t="str">
        <f aca="false">IF(OR(F417&gt;='Cover &amp; Assumptions'!$C$22,Portfolio!I417=1),"Stage 3",IF(OR(F417&gt;=30,D417&gt;'Cover &amp; Assumptions'!$C$21),"Stage 2","Stage 1"))</f>
        <v>Stage 1</v>
      </c>
      <c r="H417" s="16" t="n">
        <f aca="false">IF(G417="Stage 1",12,MIN(Portfolio!H417,60))</f>
        <v>12</v>
      </c>
      <c r="I417" s="24" t="n">
        <f aca="false">1-(1-D417)^(H417/12)</f>
        <v>0.108981146996601</v>
      </c>
      <c r="J417" s="24" t="n">
        <f aca="false">IF(G417="Stage 1",D417,I417)</f>
        <v>0.108981146996601</v>
      </c>
      <c r="K417" s="25" t="n">
        <f aca="false">J417*'Cover &amp; Assumptions'!$D$11*E417*'Cover &amp; Assumptions'!$E$11*C417</f>
        <v>3499.40840102865</v>
      </c>
      <c r="L417" s="25" t="n">
        <f aca="false">J417*'Cover &amp; Assumptions'!$D$12*E417*'Cover &amp; Assumptions'!$E$12*C417</f>
        <v>4333.63269477233</v>
      </c>
      <c r="M417" s="25" t="n">
        <f aca="false">J417*'Cover &amp; Assumptions'!$D$13*E417*'Cover &amp; Assumptions'!$E$13*C417</f>
        <v>7540.52088890385</v>
      </c>
      <c r="N417" s="25" t="n">
        <f aca="false">K417*'Cover &amp; Assumptions'!$C$11+L417*'Cover &amp; Assumptions'!$C$12+M417*'Cover &amp; Assumptions'!$C$13</f>
        <v>4968.50988455647</v>
      </c>
    </row>
    <row r="418" customFormat="false" ht="15" hidden="false" customHeight="false" outlineLevel="0" collapsed="false">
      <c r="A418" s="17" t="str">
        <f aca="false">Portfolio!A418</f>
        <v>UKSME-102953</v>
      </c>
      <c r="B418" s="17" t="str">
        <f aca="false">Portfolio!B418</f>
        <v>Healthcare</v>
      </c>
      <c r="C418" s="21" t="n">
        <f aca="false">Portfolio!D418</f>
        <v>396172</v>
      </c>
      <c r="D418" s="22" t="n">
        <f aca="false">Portfolio!G418</f>
        <v>0.152147834677623</v>
      </c>
      <c r="E418" s="23" t="n">
        <f aca="false">Portfolio!E418</f>
        <v>0.285</v>
      </c>
      <c r="F418" s="17" t="n">
        <f aca="false">Portfolio!F418</f>
        <v>0</v>
      </c>
      <c r="G418" s="16" t="str">
        <f aca="false">IF(OR(F418&gt;='Cover &amp; Assumptions'!$C$22,Portfolio!I418=1),"Stage 3",IF(OR(F418&gt;=30,D418&gt;'Cover &amp; Assumptions'!$C$21),"Stage 2","Stage 1"))</f>
        <v>Stage 2</v>
      </c>
      <c r="H418" s="16" t="n">
        <f aca="false">IF(G418="Stage 1",12,MIN(Portfolio!H418,60))</f>
        <v>24</v>
      </c>
      <c r="I418" s="24" t="n">
        <f aca="false">1-(1-D418)^(H418/12)</f>
        <v>0.281146705758156</v>
      </c>
      <c r="J418" s="24" t="n">
        <f aca="false">IF(G418="Stage 1",D418,I418)</f>
        <v>0.281146705758156</v>
      </c>
      <c r="K418" s="25" t="n">
        <f aca="false">J418*'Cover &amp; Assumptions'!$D$11*E418*'Cover &amp; Assumptions'!$E$11*C418</f>
        <v>25633.2792113808</v>
      </c>
      <c r="L418" s="25" t="n">
        <f aca="false">J418*'Cover &amp; Assumptions'!$D$12*E418*'Cover &amp; Assumptions'!$E$12*C418</f>
        <v>31743.9990233818</v>
      </c>
      <c r="M418" s="25" t="n">
        <f aca="false">J418*'Cover &amp; Assumptions'!$D$13*E418*'Cover &amp; Assumptions'!$E$13*C418</f>
        <v>55234.5583006843</v>
      </c>
      <c r="N418" s="25" t="n">
        <f aca="false">K418*'Cover &amp; Assumptions'!$C$11+L418*'Cover &amp; Assumptions'!$C$12+M418*'Cover &amp; Assumptions'!$C$13</f>
        <v>36394.4948803072</v>
      </c>
    </row>
    <row r="419" customFormat="false" ht="15" hidden="false" customHeight="false" outlineLevel="0" collapsed="false">
      <c r="A419" s="17" t="str">
        <f aca="false">Portfolio!A419</f>
        <v>UKSME-101406</v>
      </c>
      <c r="B419" s="17" t="str">
        <f aca="false">Portfolio!B419</f>
        <v>Hospitality</v>
      </c>
      <c r="C419" s="21" t="n">
        <f aca="false">Portfolio!D419</f>
        <v>19816</v>
      </c>
      <c r="D419" s="22" t="n">
        <f aca="false">Portfolio!G419</f>
        <v>0.183837194434683</v>
      </c>
      <c r="E419" s="23" t="n">
        <f aca="false">Portfolio!E419</f>
        <v>0.316</v>
      </c>
      <c r="F419" s="17" t="n">
        <f aca="false">Portfolio!F419</f>
        <v>0</v>
      </c>
      <c r="G419" s="16" t="str">
        <f aca="false">IF(OR(F419&gt;='Cover &amp; Assumptions'!$C$22,Portfolio!I419=1),"Stage 3",IF(OR(F419&gt;=30,D419&gt;'Cover &amp; Assumptions'!$C$21),"Stage 2","Stage 1"))</f>
        <v>Stage 2</v>
      </c>
      <c r="H419" s="16" t="n">
        <f aca="false">IF(G419="Stage 1",12,MIN(Portfolio!H419,60))</f>
        <v>60</v>
      </c>
      <c r="I419" s="24" t="n">
        <f aca="false">1-(1-D419)^(H419/12)</f>
        <v>0.637853747556797</v>
      </c>
      <c r="J419" s="24" t="n">
        <f aca="false">IF(G419="Stage 1",D419,I419)</f>
        <v>0.637853747556797</v>
      </c>
      <c r="K419" s="25" t="n">
        <f aca="false">J419*'Cover &amp; Assumptions'!$D$11*E419*'Cover &amp; Assumptions'!$E$11*C419</f>
        <v>3225.27476538077</v>
      </c>
      <c r="L419" s="25" t="n">
        <f aca="false">J419*'Cover &amp; Assumptions'!$D$12*E419*'Cover &amp; Assumptions'!$E$12*C419</f>
        <v>3994.14831626101</v>
      </c>
      <c r="M419" s="25" t="n">
        <f aca="false">J419*'Cover &amp; Assumptions'!$D$13*E419*'Cover &amp; Assumptions'!$E$13*C419</f>
        <v>6949.81807029416</v>
      </c>
      <c r="N419" s="25" t="n">
        <f aca="false">K419*'Cover &amp; Assumptions'!$C$11+L419*'Cover &amp; Assumptions'!$C$12+M419*'Cover &amp; Assumptions'!$C$13</f>
        <v>4579.29104459325</v>
      </c>
    </row>
    <row r="420" customFormat="false" ht="15" hidden="false" customHeight="false" outlineLevel="0" collapsed="false">
      <c r="A420" s="17" t="str">
        <f aca="false">Portfolio!A420</f>
        <v>UKSME-109763</v>
      </c>
      <c r="B420" s="17" t="str">
        <f aca="false">Portfolio!B420</f>
        <v>Wholesale</v>
      </c>
      <c r="C420" s="21" t="n">
        <f aca="false">Portfolio!D420</f>
        <v>88717</v>
      </c>
      <c r="D420" s="22" t="n">
        <f aca="false">Portfolio!G420</f>
        <v>0.272628564362897</v>
      </c>
      <c r="E420" s="23" t="n">
        <f aca="false">Portfolio!E420</f>
        <v>0.617</v>
      </c>
      <c r="F420" s="17" t="n">
        <f aca="false">Portfolio!F420</f>
        <v>0</v>
      </c>
      <c r="G420" s="16" t="str">
        <f aca="false">IF(OR(F420&gt;='Cover &amp; Assumptions'!$C$22,Portfolio!I420=1),"Stage 3",IF(OR(F420&gt;=30,D420&gt;'Cover &amp; Assumptions'!$C$21),"Stage 2","Stage 1"))</f>
        <v>Stage 3</v>
      </c>
      <c r="H420" s="16" t="n">
        <f aca="false">IF(G420="Stage 1",12,MIN(Portfolio!H420,60))</f>
        <v>24</v>
      </c>
      <c r="I420" s="24" t="n">
        <f aca="false">1-(1-D420)^(H420/12)</f>
        <v>0.47093079461922</v>
      </c>
      <c r="J420" s="24" t="n">
        <f aca="false">IF(G420="Stage 1",D420,I420)</f>
        <v>0.47093079461922</v>
      </c>
      <c r="K420" s="25" t="n">
        <f aca="false">J420*'Cover &amp; Assumptions'!$D$11*E420*'Cover &amp; Assumptions'!$E$11*C420</f>
        <v>20815.7293700664</v>
      </c>
      <c r="L420" s="25" t="n">
        <f aca="false">J420*'Cover &amp; Assumptions'!$D$12*E420*'Cover &amp; Assumptions'!$E$12*C420</f>
        <v>25777.9930279459</v>
      </c>
      <c r="M420" s="25" t="n">
        <f aca="false">J420*'Cover &amp; Assumptions'!$D$13*E420*'Cover &amp; Assumptions'!$E$13*C420</f>
        <v>44853.707868626</v>
      </c>
      <c r="N420" s="25" t="n">
        <f aca="false">K420*'Cover &amp; Assumptions'!$C$11+L420*'Cover &amp; Assumptions'!$C$12+M420*'Cover &amp; Assumptions'!$C$13</f>
        <v>29554.46900654</v>
      </c>
    </row>
    <row r="421" customFormat="false" ht="15" hidden="false" customHeight="false" outlineLevel="0" collapsed="false">
      <c r="A421" s="17" t="str">
        <f aca="false">Portfolio!A421</f>
        <v>UKSME-105481</v>
      </c>
      <c r="B421" s="17" t="str">
        <f aca="false">Portfolio!B421</f>
        <v>Healthcare</v>
      </c>
      <c r="C421" s="21" t="n">
        <f aca="false">Portfolio!D421</f>
        <v>66292</v>
      </c>
      <c r="D421" s="22" t="n">
        <f aca="false">Portfolio!G421</f>
        <v>0.124124303544996</v>
      </c>
      <c r="E421" s="23" t="n">
        <f aca="false">Portfolio!E421</f>
        <v>0.129</v>
      </c>
      <c r="F421" s="17" t="n">
        <f aca="false">Portfolio!F421</f>
        <v>0</v>
      </c>
      <c r="G421" s="16" t="str">
        <f aca="false">IF(OR(F421&gt;='Cover &amp; Assumptions'!$C$22,Portfolio!I421=1),"Stage 3",IF(OR(F421&gt;=30,D421&gt;'Cover &amp; Assumptions'!$C$21),"Stage 2","Stage 1"))</f>
        <v>Stage 1</v>
      </c>
      <c r="H421" s="16" t="n">
        <f aca="false">IF(G421="Stage 1",12,MIN(Portfolio!H421,60))</f>
        <v>12</v>
      </c>
      <c r="I421" s="24" t="n">
        <f aca="false">1-(1-D421)^(H421/12)</f>
        <v>0.124124303544996</v>
      </c>
      <c r="J421" s="24" t="n">
        <f aca="false">IF(G421="Stage 1",D421,I421)</f>
        <v>0.124124303544996</v>
      </c>
      <c r="K421" s="25" t="n">
        <f aca="false">J421*'Cover &amp; Assumptions'!$D$11*E421*'Cover &amp; Assumptions'!$E$11*C421</f>
        <v>857.136891478281</v>
      </c>
      <c r="L421" s="25" t="n">
        <f aca="false">J421*'Cover &amp; Assumptions'!$D$12*E421*'Cover &amp; Assumptions'!$E$12*C421</f>
        <v>1061.46983464803</v>
      </c>
      <c r="M421" s="25" t="n">
        <f aca="false">J421*'Cover &amp; Assumptions'!$D$13*E421*'Cover &amp; Assumptions'!$E$13*C421</f>
        <v>1846.95751228756</v>
      </c>
      <c r="N421" s="25" t="n">
        <f aca="false">K421*'Cover &amp; Assumptions'!$C$11+L421*'Cover &amp; Assumptions'!$C$12+M421*'Cover &amp; Assumptions'!$C$13</f>
        <v>1216.97516542396</v>
      </c>
    </row>
    <row r="422" customFormat="false" ht="15" hidden="false" customHeight="false" outlineLevel="0" collapsed="false">
      <c r="A422" s="17" t="str">
        <f aca="false">Portfolio!A422</f>
        <v>UKSME-102955</v>
      </c>
      <c r="B422" s="17" t="str">
        <f aca="false">Portfolio!B422</f>
        <v>Construction</v>
      </c>
      <c r="C422" s="21" t="n">
        <f aca="false">Portfolio!D422</f>
        <v>59429</v>
      </c>
      <c r="D422" s="22" t="n">
        <f aca="false">Portfolio!G422</f>
        <v>0.0722582967983983</v>
      </c>
      <c r="E422" s="23" t="n">
        <f aca="false">Portfolio!E422</f>
        <v>0.573</v>
      </c>
      <c r="F422" s="17" t="n">
        <f aca="false">Portfolio!F422</f>
        <v>0</v>
      </c>
      <c r="G422" s="16" t="str">
        <f aca="false">IF(OR(F422&gt;='Cover &amp; Assumptions'!$C$22,Portfolio!I422=1),"Stage 3",IF(OR(F422&gt;=30,D422&gt;'Cover &amp; Assumptions'!$C$21),"Stage 2","Stage 1"))</f>
        <v>Stage 1</v>
      </c>
      <c r="H422" s="16" t="n">
        <f aca="false">IF(G422="Stage 1",12,MIN(Portfolio!H422,60))</f>
        <v>12</v>
      </c>
      <c r="I422" s="24" t="n">
        <f aca="false">1-(1-D422)^(H422/12)</f>
        <v>0.0722582967983984</v>
      </c>
      <c r="J422" s="24" t="n">
        <f aca="false">IF(G422="Stage 1",D422,I422)</f>
        <v>0.0722582967983983</v>
      </c>
      <c r="K422" s="25" t="n">
        <f aca="false">J422*'Cover &amp; Assumptions'!$D$11*E422*'Cover &amp; Assumptions'!$E$11*C422</f>
        <v>1986.93333526809</v>
      </c>
      <c r="L422" s="25" t="n">
        <f aca="false">J422*'Cover &amp; Assumptions'!$D$12*E422*'Cover &amp; Assumptions'!$E$12*C422</f>
        <v>2460.59855760754</v>
      </c>
      <c r="M422" s="25" t="n">
        <f aca="false">J422*'Cover &amp; Assumptions'!$D$13*E422*'Cover &amp; Assumptions'!$E$13*C422</f>
        <v>4281.44149023713</v>
      </c>
      <c r="N422" s="25" t="n">
        <f aca="false">K422*'Cover &amp; Assumptions'!$C$11+L422*'Cover &amp; Assumptions'!$C$12+M422*'Cover &amp; Assumptions'!$C$13</f>
        <v>2821.07624629705</v>
      </c>
    </row>
    <row r="423" customFormat="false" ht="15" hidden="false" customHeight="false" outlineLevel="0" collapsed="false">
      <c r="A423" s="17" t="str">
        <f aca="false">Portfolio!A423</f>
        <v>UKSME-105284</v>
      </c>
      <c r="B423" s="17" t="str">
        <f aca="false">Portfolio!B423</f>
        <v>Manufacturing</v>
      </c>
      <c r="C423" s="21" t="n">
        <f aca="false">Portfolio!D423</f>
        <v>58886</v>
      </c>
      <c r="D423" s="22" t="n">
        <f aca="false">Portfolio!G423</f>
        <v>0.141674905292497</v>
      </c>
      <c r="E423" s="23" t="n">
        <f aca="false">Portfolio!E423</f>
        <v>0.311</v>
      </c>
      <c r="F423" s="17" t="n">
        <f aca="false">Portfolio!F423</f>
        <v>0</v>
      </c>
      <c r="G423" s="16" t="str">
        <f aca="false">IF(OR(F423&gt;='Cover &amp; Assumptions'!$C$22,Portfolio!I423=1),"Stage 3",IF(OR(F423&gt;=30,D423&gt;'Cover &amp; Assumptions'!$C$21),"Stage 2","Stage 1"))</f>
        <v>Stage 1</v>
      </c>
      <c r="H423" s="16" t="n">
        <f aca="false">IF(G423="Stage 1",12,MIN(Portfolio!H423,60))</f>
        <v>12</v>
      </c>
      <c r="I423" s="24" t="n">
        <f aca="false">1-(1-D423)^(H423/12)</f>
        <v>0.141674905292497</v>
      </c>
      <c r="J423" s="24" t="n">
        <f aca="false">IF(G423="Stage 1",D423,I423)</f>
        <v>0.141674905292497</v>
      </c>
      <c r="K423" s="25" t="n">
        <f aca="false">J423*'Cover &amp; Assumptions'!$D$11*E423*'Cover &amp; Assumptions'!$E$11*C423</f>
        <v>2095.11519030923</v>
      </c>
      <c r="L423" s="25" t="n">
        <f aca="false">J423*'Cover &amp; Assumptions'!$D$12*E423*'Cover &amp; Assumptions'!$E$12*C423</f>
        <v>2594.56989511979</v>
      </c>
      <c r="M423" s="25" t="n">
        <f aca="false">J423*'Cover &amp; Assumptions'!$D$13*E423*'Cover &amp; Assumptions'!$E$13*C423</f>
        <v>4514.55161750843</v>
      </c>
      <c r="N423" s="25" t="n">
        <f aca="false">K423*'Cover &amp; Assumptions'!$C$11+L423*'Cover &amp; Assumptions'!$C$12+M423*'Cover &amp; Assumptions'!$C$13</f>
        <v>2974.67438475484</v>
      </c>
    </row>
    <row r="424" customFormat="false" ht="15" hidden="false" customHeight="false" outlineLevel="0" collapsed="false">
      <c r="A424" s="17" t="str">
        <f aca="false">Portfolio!A424</f>
        <v>UKSME-108817</v>
      </c>
      <c r="B424" s="17" t="str">
        <f aca="false">Portfolio!B424</f>
        <v>Technology</v>
      </c>
      <c r="C424" s="21" t="n">
        <f aca="false">Portfolio!D424</f>
        <v>61220</v>
      </c>
      <c r="D424" s="22" t="n">
        <f aca="false">Portfolio!G424</f>
        <v>0.180112018268358</v>
      </c>
      <c r="E424" s="23" t="n">
        <f aca="false">Portfolio!E424</f>
        <v>0.34</v>
      </c>
      <c r="F424" s="17" t="n">
        <f aca="false">Portfolio!F424</f>
        <v>0</v>
      </c>
      <c r="G424" s="16" t="str">
        <f aca="false">IF(OR(F424&gt;='Cover &amp; Assumptions'!$C$22,Portfolio!I424=1),"Stage 3",IF(OR(F424&gt;=30,D424&gt;'Cover &amp; Assumptions'!$C$21),"Stage 2","Stage 1"))</f>
        <v>Stage 2</v>
      </c>
      <c r="H424" s="16" t="n">
        <f aca="false">IF(G424="Stage 1",12,MIN(Portfolio!H424,60))</f>
        <v>60</v>
      </c>
      <c r="I424" s="24" t="n">
        <f aca="false">1-(1-D424)^(H424/12)</f>
        <v>0.629513317106496</v>
      </c>
      <c r="J424" s="24" t="n">
        <f aca="false">IF(G424="Stage 1",D424,I424)</f>
        <v>0.629513317106496</v>
      </c>
      <c r="K424" s="25" t="n">
        <f aca="false">J424*'Cover &amp; Assumptions'!$D$11*E424*'Cover &amp; Assumptions'!$E$11*C424</f>
        <v>10580.8289877734</v>
      </c>
      <c r="L424" s="25" t="n">
        <f aca="false">J424*'Cover &amp; Assumptions'!$D$12*E424*'Cover &amp; Assumptions'!$E$12*C424</f>
        <v>13103.1937929083</v>
      </c>
      <c r="M424" s="25" t="n">
        <f aca="false">J424*'Cover &amp; Assumptions'!$D$13*E424*'Cover &amp; Assumptions'!$E$13*C424</f>
        <v>22799.5571996604</v>
      </c>
      <c r="N424" s="25" t="n">
        <f aca="false">K424*'Cover &amp; Assumptions'!$C$11+L424*'Cover &amp; Assumptions'!$C$12+M424*'Cover &amp; Assumptions'!$C$13</f>
        <v>15022.8116835694</v>
      </c>
    </row>
    <row r="425" customFormat="false" ht="15" hidden="false" customHeight="false" outlineLevel="0" collapsed="false">
      <c r="A425" s="17" t="str">
        <f aca="false">Portfolio!A425</f>
        <v>UKSME-101837</v>
      </c>
      <c r="B425" s="17" t="str">
        <f aca="false">Portfolio!B425</f>
        <v>Retail</v>
      </c>
      <c r="C425" s="21" t="n">
        <f aca="false">Portfolio!D425</f>
        <v>76205</v>
      </c>
      <c r="D425" s="22" t="n">
        <f aca="false">Portfolio!G425</f>
        <v>0.218636044568241</v>
      </c>
      <c r="E425" s="23" t="n">
        <f aca="false">Portfolio!E425</f>
        <v>0.111</v>
      </c>
      <c r="F425" s="17" t="n">
        <f aca="false">Portfolio!F425</f>
        <v>0</v>
      </c>
      <c r="G425" s="16" t="str">
        <f aca="false">IF(OR(F425&gt;='Cover &amp; Assumptions'!$C$22,Portfolio!I425=1),"Stage 3",IF(OR(F425&gt;=30,D425&gt;'Cover &amp; Assumptions'!$C$21),"Stage 2","Stage 1"))</f>
        <v>Stage 3</v>
      </c>
      <c r="H425" s="16" t="n">
        <f aca="false">IF(G425="Stage 1",12,MIN(Portfolio!H425,60))</f>
        <v>48</v>
      </c>
      <c r="I425" s="24" t="n">
        <f aca="false">1-(1-D425)^(H425/12)</f>
        <v>0.627253569856649</v>
      </c>
      <c r="J425" s="24" t="n">
        <f aca="false">IF(G425="Stage 1",D425,I425)</f>
        <v>0.627253569856649</v>
      </c>
      <c r="K425" s="25" t="n">
        <f aca="false">J425*'Cover &amp; Assumptions'!$D$11*E425*'Cover &amp; Assumptions'!$E$11*C425</f>
        <v>4284.42079826142</v>
      </c>
      <c r="L425" s="25" t="n">
        <f aca="false">J425*'Cover &amp; Assumptions'!$D$12*E425*'Cover &amp; Assumptions'!$E$12*C425</f>
        <v>5305.78427029278</v>
      </c>
      <c r="M425" s="25" t="n">
        <f aca="false">J425*'Cover &amp; Assumptions'!$D$13*E425*'Cover &amp; Assumptions'!$E$13*C425</f>
        <v>9232.06463030944</v>
      </c>
      <c r="N425" s="25" t="n">
        <f aca="false">K425*'Cover &amp; Assumptions'!$C$11+L425*'Cover &amp; Assumptions'!$C$12+M425*'Cover &amp; Assumptions'!$C$13</f>
        <v>6083.08166589067</v>
      </c>
    </row>
    <row r="426" customFormat="false" ht="15" hidden="false" customHeight="false" outlineLevel="0" collapsed="false">
      <c r="A426" s="17" t="str">
        <f aca="false">Portfolio!A426</f>
        <v>UKSME-102209</v>
      </c>
      <c r="B426" s="17" t="str">
        <f aca="false">Portfolio!B426</f>
        <v>Wholesale</v>
      </c>
      <c r="C426" s="21" t="n">
        <f aca="false">Portfolio!D426</f>
        <v>36577</v>
      </c>
      <c r="D426" s="22" t="n">
        <f aca="false">Portfolio!G426</f>
        <v>0.152002605028139</v>
      </c>
      <c r="E426" s="23" t="n">
        <f aca="false">Portfolio!E426</f>
        <v>0.739</v>
      </c>
      <c r="F426" s="17" t="n">
        <f aca="false">Portfolio!F426</f>
        <v>0</v>
      </c>
      <c r="G426" s="16" t="str">
        <f aca="false">IF(OR(F426&gt;='Cover &amp; Assumptions'!$C$22,Portfolio!I426=1),"Stage 3",IF(OR(F426&gt;=30,D426&gt;'Cover &amp; Assumptions'!$C$21),"Stage 2","Stage 1"))</f>
        <v>Stage 2</v>
      </c>
      <c r="H426" s="16" t="n">
        <f aca="false">IF(G426="Stage 1",12,MIN(Portfolio!H426,60))</f>
        <v>36</v>
      </c>
      <c r="I426" s="24" t="n">
        <f aca="false">1-(1-D426)^(H426/12)</f>
        <v>0.3902054278412</v>
      </c>
      <c r="J426" s="24" t="n">
        <f aca="false">IF(G426="Stage 1",D426,I426)</f>
        <v>0.3902054278412</v>
      </c>
      <c r="K426" s="25" t="n">
        <f aca="false">J426*'Cover &amp; Assumptions'!$D$11*E426*'Cover &amp; Assumptions'!$E$11*C426</f>
        <v>8517.03354862306</v>
      </c>
      <c r="L426" s="25" t="n">
        <f aca="false">J426*'Cover &amp; Assumptions'!$D$12*E426*'Cover &amp; Assumptions'!$E$12*C426</f>
        <v>10547.4099673351</v>
      </c>
      <c r="M426" s="25" t="n">
        <f aca="false">J426*'Cover &amp; Assumptions'!$D$13*E426*'Cover &amp; Assumptions'!$E$13*C426</f>
        <v>18352.493343163</v>
      </c>
      <c r="N426" s="25" t="n">
        <f aca="false">K426*'Cover &amp; Assumptions'!$C$11+L426*'Cover &amp; Assumptions'!$C$12+M426*'Cover &amp; Assumptions'!$C$13</f>
        <v>12092.6055275496</v>
      </c>
    </row>
    <row r="427" customFormat="false" ht="15" hidden="false" customHeight="false" outlineLevel="0" collapsed="false">
      <c r="A427" s="17" t="str">
        <f aca="false">Portfolio!A427</f>
        <v>UKSME-108033</v>
      </c>
      <c r="B427" s="17" t="str">
        <f aca="false">Portfolio!B427</f>
        <v>Hospitality</v>
      </c>
      <c r="C427" s="21" t="n">
        <f aca="false">Portfolio!D427</f>
        <v>47396</v>
      </c>
      <c r="D427" s="22" t="n">
        <f aca="false">Portfolio!G427</f>
        <v>0.184764824973838</v>
      </c>
      <c r="E427" s="23" t="n">
        <f aca="false">Portfolio!E427</f>
        <v>0.247</v>
      </c>
      <c r="F427" s="17" t="n">
        <f aca="false">Portfolio!F427</f>
        <v>0</v>
      </c>
      <c r="G427" s="16" t="str">
        <f aca="false">IF(OR(F427&gt;='Cover &amp; Assumptions'!$C$22,Portfolio!I427=1),"Stage 3",IF(OR(F427&gt;=30,D427&gt;'Cover &amp; Assumptions'!$C$21),"Stage 2","Stage 1"))</f>
        <v>Stage 2</v>
      </c>
      <c r="H427" s="16" t="n">
        <f aca="false">IF(G427="Stage 1",12,MIN(Portfolio!H427,60))</f>
        <v>60</v>
      </c>
      <c r="I427" s="24" t="n">
        <f aca="false">1-(1-D427)^(H427/12)</f>
        <v>0.63990710719916</v>
      </c>
      <c r="J427" s="24" t="n">
        <f aca="false">IF(G427="Stage 1",D427,I427)</f>
        <v>0.63990710719916</v>
      </c>
      <c r="K427" s="25" t="n">
        <f aca="false">J427*'Cover &amp; Assumptions'!$D$11*E427*'Cover &amp; Assumptions'!$E$11*C427</f>
        <v>6049.20230266637</v>
      </c>
      <c r="L427" s="25" t="n">
        <f aca="false">J427*'Cover &amp; Assumptions'!$D$12*E427*'Cover &amp; Assumptions'!$E$12*C427</f>
        <v>7491.27220144442</v>
      </c>
      <c r="M427" s="25" t="n">
        <f aca="false">J427*'Cover &amp; Assumptions'!$D$13*E427*'Cover &amp; Assumptions'!$E$13*C427</f>
        <v>13034.8136305133</v>
      </c>
      <c r="N427" s="25" t="n">
        <f aca="false">K427*'Cover &amp; Assumptions'!$C$11+L427*'Cover &amp; Assumptions'!$C$12+M427*'Cover &amp; Assumptions'!$C$13</f>
        <v>8588.74357895602</v>
      </c>
    </row>
    <row r="428" customFormat="false" ht="15" hidden="false" customHeight="false" outlineLevel="0" collapsed="false">
      <c r="A428" s="17" t="str">
        <f aca="false">Portfolio!A428</f>
        <v>UKSME-106382</v>
      </c>
      <c r="B428" s="17" t="str">
        <f aca="false">Portfolio!B428</f>
        <v>Hospitality</v>
      </c>
      <c r="C428" s="21" t="n">
        <f aca="false">Portfolio!D428</f>
        <v>95414</v>
      </c>
      <c r="D428" s="22" t="n">
        <f aca="false">Portfolio!G428</f>
        <v>0.0041872457071537</v>
      </c>
      <c r="E428" s="23" t="n">
        <f aca="false">Portfolio!E428</f>
        <v>0.335</v>
      </c>
      <c r="F428" s="17" t="n">
        <f aca="false">Portfolio!F428</f>
        <v>0</v>
      </c>
      <c r="G428" s="16" t="str">
        <f aca="false">IF(OR(F428&gt;='Cover &amp; Assumptions'!$C$22,Portfolio!I428=1),"Stage 3",IF(OR(F428&gt;=30,D428&gt;'Cover &amp; Assumptions'!$C$21),"Stage 2","Stage 1"))</f>
        <v>Stage 1</v>
      </c>
      <c r="H428" s="16" t="n">
        <f aca="false">IF(G428="Stage 1",12,MIN(Portfolio!H428,60))</f>
        <v>12</v>
      </c>
      <c r="I428" s="24" t="n">
        <f aca="false">1-(1-D428)^(H428/12)</f>
        <v>0.00418724570715368</v>
      </c>
      <c r="J428" s="24" t="n">
        <f aca="false">IF(G428="Stage 1",D428,I428)</f>
        <v>0.0041872457071537</v>
      </c>
      <c r="K428" s="25" t="n">
        <f aca="false">J428*'Cover &amp; Assumptions'!$D$11*E428*'Cover &amp; Assumptions'!$E$11*C428</f>
        <v>108.075657667863</v>
      </c>
      <c r="L428" s="25" t="n">
        <f aca="false">J428*'Cover &amp; Assumptions'!$D$12*E428*'Cover &amp; Assumptions'!$E$12*C428</f>
        <v>133.839823737292</v>
      </c>
      <c r="M428" s="25" t="n">
        <f aca="false">J428*'Cover &amp; Assumptions'!$D$13*E428*'Cover &amp; Assumptions'!$E$13*C428</f>
        <v>232.881293302887</v>
      </c>
      <c r="N428" s="25" t="n">
        <f aca="false">K428*'Cover &amp; Assumptions'!$C$11+L428*'Cover &amp; Assumptions'!$C$12+M428*'Cover &amp; Assumptions'!$C$13</f>
        <v>153.447357914805</v>
      </c>
    </row>
    <row r="429" customFormat="false" ht="15" hidden="false" customHeight="false" outlineLevel="0" collapsed="false">
      <c r="A429" s="17" t="str">
        <f aca="false">Portfolio!A429</f>
        <v>UKSME-107093</v>
      </c>
      <c r="B429" s="17" t="str">
        <f aca="false">Portfolio!B429</f>
        <v>Healthcare</v>
      </c>
      <c r="C429" s="21" t="n">
        <f aca="false">Portfolio!D429</f>
        <v>48057</v>
      </c>
      <c r="D429" s="22" t="n">
        <f aca="false">Portfolio!G429</f>
        <v>0.14211033300084</v>
      </c>
      <c r="E429" s="23" t="n">
        <f aca="false">Portfolio!E429</f>
        <v>0.258</v>
      </c>
      <c r="F429" s="17" t="n">
        <f aca="false">Portfolio!F429</f>
        <v>0</v>
      </c>
      <c r="G429" s="16" t="str">
        <f aca="false">IF(OR(F429&gt;='Cover &amp; Assumptions'!$C$22,Portfolio!I429=1),"Stage 3",IF(OR(F429&gt;=30,D429&gt;'Cover &amp; Assumptions'!$C$21),"Stage 2","Stage 1"))</f>
        <v>Stage 1</v>
      </c>
      <c r="H429" s="16" t="n">
        <f aca="false">IF(G429="Stage 1",12,MIN(Portfolio!H429,60))</f>
        <v>12</v>
      </c>
      <c r="I429" s="24" t="n">
        <f aca="false">1-(1-D429)^(H429/12)</f>
        <v>0.14211033300084</v>
      </c>
      <c r="J429" s="24" t="n">
        <f aca="false">IF(G429="Stage 1",D429,I429)</f>
        <v>0.14211033300084</v>
      </c>
      <c r="K429" s="25" t="n">
        <f aca="false">J429*'Cover &amp; Assumptions'!$D$11*E429*'Cover &amp; Assumptions'!$E$11*C429</f>
        <v>1422.80227253991</v>
      </c>
      <c r="L429" s="25" t="n">
        <f aca="false">J429*'Cover &amp; Assumptions'!$D$12*E429*'Cover &amp; Assumptions'!$E$12*C429</f>
        <v>1761.98423843952</v>
      </c>
      <c r="M429" s="25" t="n">
        <f aca="false">J429*'Cover &amp; Assumptions'!$D$13*E429*'Cover &amp; Assumptions'!$E$13*C429</f>
        <v>3065.85257488476</v>
      </c>
      <c r="N429" s="25" t="n">
        <f aca="false">K429*'Cover &amp; Assumptions'!$C$11+L429*'Cover &amp; Assumptions'!$C$12+M429*'Cover &amp; Assumptions'!$C$13</f>
        <v>2020.11492937091</v>
      </c>
    </row>
    <row r="430" customFormat="false" ht="15" hidden="false" customHeight="false" outlineLevel="0" collapsed="false">
      <c r="A430" s="17" t="str">
        <f aca="false">Portfolio!A430</f>
        <v>UKSME-108924</v>
      </c>
      <c r="B430" s="17" t="str">
        <f aca="false">Portfolio!B430</f>
        <v>Wholesale</v>
      </c>
      <c r="C430" s="21" t="n">
        <f aca="false">Portfolio!D430</f>
        <v>21454</v>
      </c>
      <c r="D430" s="22" t="n">
        <f aca="false">Portfolio!G430</f>
        <v>0.117516403108034</v>
      </c>
      <c r="E430" s="23" t="n">
        <f aca="false">Portfolio!E430</f>
        <v>0.671</v>
      </c>
      <c r="F430" s="17" t="n">
        <f aca="false">Portfolio!F430</f>
        <v>0</v>
      </c>
      <c r="G430" s="16" t="str">
        <f aca="false">IF(OR(F430&gt;='Cover &amp; Assumptions'!$C$22,Portfolio!I430=1),"Stage 3",IF(OR(F430&gt;=30,D430&gt;'Cover &amp; Assumptions'!$C$21),"Stage 2","Stage 1"))</f>
        <v>Stage 1</v>
      </c>
      <c r="H430" s="16" t="n">
        <f aca="false">IF(G430="Stage 1",12,MIN(Portfolio!H430,60))</f>
        <v>12</v>
      </c>
      <c r="I430" s="24" t="n">
        <f aca="false">1-(1-D430)^(H430/12)</f>
        <v>0.117516403108033</v>
      </c>
      <c r="J430" s="24" t="n">
        <f aca="false">IF(G430="Stage 1",D430,I430)</f>
        <v>0.117516403108034</v>
      </c>
      <c r="K430" s="25" t="n">
        <f aca="false">J430*'Cover &amp; Assumptions'!$D$11*E430*'Cover &amp; Assumptions'!$E$11*C430</f>
        <v>1366.06642597282</v>
      </c>
      <c r="L430" s="25" t="n">
        <f aca="false">J430*'Cover &amp; Assumptions'!$D$12*E430*'Cover &amp; Assumptions'!$E$12*C430</f>
        <v>1691.72312813971</v>
      </c>
      <c r="M430" s="25" t="n">
        <f aca="false">J430*'Cover &amp; Assumptions'!$D$13*E430*'Cover &amp; Assumptions'!$E$13*C430</f>
        <v>2943.5982429631</v>
      </c>
      <c r="N430" s="25" t="n">
        <f aca="false">K430*'Cover &amp; Assumptions'!$C$11+L430*'Cover &amp; Assumptions'!$C$12+M430*'Cover &amp; Assumptions'!$C$13</f>
        <v>1939.56056641218</v>
      </c>
    </row>
    <row r="431" customFormat="false" ht="15" hidden="false" customHeight="false" outlineLevel="0" collapsed="false">
      <c r="A431" s="17" t="str">
        <f aca="false">Portfolio!A431</f>
        <v>UKSME-109849</v>
      </c>
      <c r="B431" s="17" t="str">
        <f aca="false">Portfolio!B431</f>
        <v>Hospitality</v>
      </c>
      <c r="C431" s="21" t="n">
        <f aca="false">Portfolio!D431</f>
        <v>88221</v>
      </c>
      <c r="D431" s="22" t="n">
        <f aca="false">Portfolio!G431</f>
        <v>0.172163145481547</v>
      </c>
      <c r="E431" s="23" t="n">
        <f aca="false">Portfolio!E431</f>
        <v>0.178</v>
      </c>
      <c r="F431" s="17" t="n">
        <f aca="false">Portfolio!F431</f>
        <v>0</v>
      </c>
      <c r="G431" s="16" t="str">
        <f aca="false">IF(OR(F431&gt;='Cover &amp; Assumptions'!$C$22,Portfolio!I431=1),"Stage 3",IF(OR(F431&gt;=30,D431&gt;'Cover &amp; Assumptions'!$C$21),"Stage 2","Stage 1"))</f>
        <v>Stage 2</v>
      </c>
      <c r="H431" s="16" t="n">
        <f aca="false">IF(G431="Stage 1",12,MIN(Portfolio!H431,60))</f>
        <v>48</v>
      </c>
      <c r="I431" s="24" t="n">
        <f aca="false">1-(1-D431)^(H431/12)</f>
        <v>0.530344916445706</v>
      </c>
      <c r="J431" s="24" t="n">
        <f aca="false">IF(G431="Stage 1",D431,I431)</f>
        <v>0.530344916445706</v>
      </c>
      <c r="K431" s="25" t="n">
        <f aca="false">J431*'Cover &amp; Assumptions'!$D$11*E431*'Cover &amp; Assumptions'!$E$11*C431</f>
        <v>6725.00977471941</v>
      </c>
      <c r="L431" s="25" t="n">
        <f aca="false">J431*'Cover &amp; Assumptions'!$D$12*E431*'Cover &amp; Assumptions'!$E$12*C431</f>
        <v>8328.18547952869</v>
      </c>
      <c r="M431" s="25" t="n">
        <f aca="false">J431*'Cover &amp; Assumptions'!$D$13*E431*'Cover &amp; Assumptions'!$E$13*C431</f>
        <v>14491.0427343799</v>
      </c>
      <c r="N431" s="25" t="n">
        <f aca="false">K431*'Cover &amp; Assumptions'!$C$11+L431*'Cover &amp; Assumptions'!$C$12+M431*'Cover &amp; Assumptions'!$C$13</f>
        <v>9548.26465227964</v>
      </c>
    </row>
    <row r="432" customFormat="false" ht="15" hidden="false" customHeight="false" outlineLevel="0" collapsed="false">
      <c r="A432" s="17" t="str">
        <f aca="false">Portfolio!A432</f>
        <v>UKSME-103243</v>
      </c>
      <c r="B432" s="17" t="str">
        <f aca="false">Portfolio!B432</f>
        <v>Healthcare</v>
      </c>
      <c r="C432" s="21" t="n">
        <f aca="false">Portfolio!D432</f>
        <v>130717</v>
      </c>
      <c r="D432" s="22" t="n">
        <f aca="false">Portfolio!G432</f>
        <v>0.164980764369768</v>
      </c>
      <c r="E432" s="23" t="n">
        <f aca="false">Portfolio!E432</f>
        <v>0.494</v>
      </c>
      <c r="F432" s="17" t="n">
        <f aca="false">Portfolio!F432</f>
        <v>0</v>
      </c>
      <c r="G432" s="16" t="str">
        <f aca="false">IF(OR(F432&gt;='Cover &amp; Assumptions'!$C$22,Portfolio!I432=1),"Stage 3",IF(OR(F432&gt;=30,D432&gt;'Cover &amp; Assumptions'!$C$21),"Stage 2","Stage 1"))</f>
        <v>Stage 2</v>
      </c>
      <c r="H432" s="16" t="n">
        <f aca="false">IF(G432="Stage 1",12,MIN(Portfolio!H432,60))</f>
        <v>60</v>
      </c>
      <c r="I432" s="24" t="n">
        <f aca="false">1-(1-D432)^(H432/12)</f>
        <v>0.594040788441361</v>
      </c>
      <c r="J432" s="24" t="n">
        <f aca="false">IF(G432="Stage 1",D432,I432)</f>
        <v>0.594040788441361</v>
      </c>
      <c r="K432" s="25" t="n">
        <f aca="false">J432*'Cover &amp; Assumptions'!$D$11*E432*'Cover &amp; Assumptions'!$E$11*C432</f>
        <v>30975.4638005075</v>
      </c>
      <c r="L432" s="25" t="n">
        <f aca="false">J432*'Cover &amp; Assumptions'!$D$12*E432*'Cover &amp; Assumptions'!$E$12*C432</f>
        <v>38359.7074928886</v>
      </c>
      <c r="M432" s="25" t="n">
        <f aca="false">J432*'Cover &amp; Assumptions'!$D$13*E432*'Cover &amp; Assumptions'!$E$13*C432</f>
        <v>66745.8910376261</v>
      </c>
      <c r="N432" s="25" t="n">
        <f aca="false">K432*'Cover &amp; Assumptions'!$C$11+L432*'Cover &amp; Assumptions'!$C$12+M432*'Cover &amp; Assumptions'!$C$13</f>
        <v>43979.4046405967</v>
      </c>
    </row>
    <row r="433" customFormat="false" ht="15" hidden="false" customHeight="false" outlineLevel="0" collapsed="false">
      <c r="A433" s="17" t="str">
        <f aca="false">Portfolio!A433</f>
        <v>UKSME-108284</v>
      </c>
      <c r="B433" s="17" t="str">
        <f aca="false">Portfolio!B433</f>
        <v>Construction</v>
      </c>
      <c r="C433" s="21" t="n">
        <f aca="false">Portfolio!D433</f>
        <v>71255</v>
      </c>
      <c r="D433" s="22" t="n">
        <f aca="false">Portfolio!G433</f>
        <v>0.028808362643386</v>
      </c>
      <c r="E433" s="23" t="n">
        <f aca="false">Portfolio!E433</f>
        <v>0.726</v>
      </c>
      <c r="F433" s="17" t="n">
        <f aca="false">Portfolio!F433</f>
        <v>0</v>
      </c>
      <c r="G433" s="16" t="str">
        <f aca="false">IF(OR(F433&gt;='Cover &amp; Assumptions'!$C$22,Portfolio!I433=1),"Stage 3",IF(OR(F433&gt;=30,D433&gt;'Cover &amp; Assumptions'!$C$21),"Stage 2","Stage 1"))</f>
        <v>Stage 1</v>
      </c>
      <c r="H433" s="16" t="n">
        <f aca="false">IF(G433="Stage 1",12,MIN(Portfolio!H433,60))</f>
        <v>12</v>
      </c>
      <c r="I433" s="24" t="n">
        <f aca="false">1-(1-D433)^(H433/12)</f>
        <v>0.028808362643386</v>
      </c>
      <c r="J433" s="24" t="n">
        <f aca="false">IF(G433="Stage 1",D433,I433)</f>
        <v>0.028808362643386</v>
      </c>
      <c r="K433" s="25" t="n">
        <f aca="false">J433*'Cover &amp; Assumptions'!$D$11*E433*'Cover &amp; Assumptions'!$E$11*C433</f>
        <v>1203.40849104116</v>
      </c>
      <c r="L433" s="25" t="n">
        <f aca="false">J433*'Cover &amp; Assumptions'!$D$12*E433*'Cover &amp; Assumptions'!$E$12*C433</f>
        <v>1490.28915299214</v>
      </c>
      <c r="M433" s="25" t="n">
        <f aca="false">J433*'Cover &amp; Assumptions'!$D$13*E433*'Cover &amp; Assumptions'!$E$13*C433</f>
        <v>2593.10312620633</v>
      </c>
      <c r="N433" s="25" t="n">
        <f aca="false">K433*'Cover &amp; Assumptions'!$C$11+L433*'Cover &amp; Assumptions'!$C$12+M433*'Cover &amp; Assumptions'!$C$13</f>
        <v>1708.61651390549</v>
      </c>
    </row>
    <row r="434" customFormat="false" ht="15" hidden="false" customHeight="false" outlineLevel="0" collapsed="false">
      <c r="A434" s="17" t="str">
        <f aca="false">Portfolio!A434</f>
        <v>UKSME-106675</v>
      </c>
      <c r="B434" s="17" t="str">
        <f aca="false">Portfolio!B434</f>
        <v>Manufacturing</v>
      </c>
      <c r="C434" s="21" t="n">
        <f aca="false">Portfolio!D434</f>
        <v>22886</v>
      </c>
      <c r="D434" s="22" t="n">
        <f aca="false">Portfolio!G434</f>
        <v>0.197573061231412</v>
      </c>
      <c r="E434" s="23" t="n">
        <f aca="false">Portfolio!E434</f>
        <v>0.332</v>
      </c>
      <c r="F434" s="17" t="n">
        <f aca="false">Portfolio!F434</f>
        <v>0</v>
      </c>
      <c r="G434" s="16" t="str">
        <f aca="false">IF(OR(F434&gt;='Cover &amp; Assumptions'!$C$22,Portfolio!I434=1),"Stage 3",IF(OR(F434&gt;=30,D434&gt;'Cover &amp; Assumptions'!$C$21),"Stage 2","Stage 1"))</f>
        <v>Stage 2</v>
      </c>
      <c r="H434" s="16" t="n">
        <f aca="false">IF(G434="Stage 1",12,MIN(Portfolio!H434,60))</f>
        <v>12</v>
      </c>
      <c r="I434" s="24" t="n">
        <f aca="false">1-(1-D434)^(H434/12)</f>
        <v>0.197573061231412</v>
      </c>
      <c r="J434" s="24" t="n">
        <f aca="false">IF(G434="Stage 1",D434,I434)</f>
        <v>0.197573061231412</v>
      </c>
      <c r="K434" s="25" t="n">
        <f aca="false">J434*'Cover &amp; Assumptions'!$D$11*E434*'Cover &amp; Assumptions'!$E$11*C434</f>
        <v>1212.21104640082</v>
      </c>
      <c r="L434" s="25" t="n">
        <f aca="false">J434*'Cover &amp; Assumptions'!$D$12*E434*'Cover &amp; Assumptions'!$E$12*C434</f>
        <v>1501.19015034158</v>
      </c>
      <c r="M434" s="25" t="n">
        <f aca="false">J434*'Cover &amp; Assumptions'!$D$13*E434*'Cover &amp; Assumptions'!$E$13*C434</f>
        <v>2612.07086159434</v>
      </c>
      <c r="N434" s="25" t="n">
        <f aca="false">K434*'Cover &amp; Assumptions'!$C$11+L434*'Cover &amp; Assumptions'!$C$12+M434*'Cover &amp; Assumptions'!$C$13</f>
        <v>1721.11450736662</v>
      </c>
    </row>
    <row r="435" customFormat="false" ht="15" hidden="false" customHeight="false" outlineLevel="0" collapsed="false">
      <c r="A435" s="17" t="str">
        <f aca="false">Portfolio!A435</f>
        <v>UKSME-100060</v>
      </c>
      <c r="B435" s="17" t="str">
        <f aca="false">Portfolio!B435</f>
        <v>Transport</v>
      </c>
      <c r="C435" s="21" t="n">
        <f aca="false">Portfolio!D435</f>
        <v>94415</v>
      </c>
      <c r="D435" s="22" t="n">
        <f aca="false">Portfolio!G435</f>
        <v>0.154614576014836</v>
      </c>
      <c r="E435" s="23" t="n">
        <f aca="false">Portfolio!E435</f>
        <v>0.236</v>
      </c>
      <c r="F435" s="17" t="n">
        <f aca="false">Portfolio!F435</f>
        <v>0</v>
      </c>
      <c r="G435" s="16" t="str">
        <f aca="false">IF(OR(F435&gt;='Cover &amp; Assumptions'!$C$22,Portfolio!I435=1),"Stage 3",IF(OR(F435&gt;=30,D435&gt;'Cover &amp; Assumptions'!$C$21),"Stage 2","Stage 1"))</f>
        <v>Stage 3</v>
      </c>
      <c r="H435" s="16" t="n">
        <f aca="false">IF(G435="Stage 1",12,MIN(Portfolio!H435,60))</f>
        <v>48</v>
      </c>
      <c r="I435" s="24" t="n">
        <f aca="false">1-(1-D435)^(H435/12)</f>
        <v>0.489237478783707</v>
      </c>
      <c r="J435" s="24" t="n">
        <f aca="false">IF(G435="Stage 1",D435,I435)</f>
        <v>0.489237478783707</v>
      </c>
      <c r="K435" s="25" t="n">
        <f aca="false">J435*'Cover &amp; Assumptions'!$D$11*E435*'Cover &amp; Assumptions'!$E$11*C435</f>
        <v>8802.68681951794</v>
      </c>
      <c r="L435" s="25" t="n">
        <f aca="false">J435*'Cover &amp; Assumptions'!$D$12*E435*'Cover &amp; Assumptions'!$E$12*C435</f>
        <v>10901.1601480098</v>
      </c>
      <c r="M435" s="25" t="n">
        <f aca="false">J435*'Cover &amp; Assumptions'!$D$13*E435*'Cover &amp; Assumptions'!$E$13*C435</f>
        <v>18968.0186575371</v>
      </c>
      <c r="N435" s="25" t="n">
        <f aca="false">K435*'Cover &amp; Assumptions'!$C$11+L435*'Cover &amp; Assumptions'!$C$12+M435*'Cover &amp; Assumptions'!$C$13</f>
        <v>12498.1801096933</v>
      </c>
    </row>
    <row r="436" customFormat="false" ht="15" hidden="false" customHeight="false" outlineLevel="0" collapsed="false">
      <c r="A436" s="17" t="str">
        <f aca="false">Portfolio!A436</f>
        <v>UKSME-105775</v>
      </c>
      <c r="B436" s="17" t="str">
        <f aca="false">Portfolio!B436</f>
        <v>Retail</v>
      </c>
      <c r="C436" s="21" t="n">
        <f aca="false">Portfolio!D436</f>
        <v>97829</v>
      </c>
      <c r="D436" s="22" t="n">
        <f aca="false">Portfolio!G436</f>
        <v>0.247779703242213</v>
      </c>
      <c r="E436" s="23" t="n">
        <f aca="false">Portfolio!E436</f>
        <v>0.185</v>
      </c>
      <c r="F436" s="17" t="n">
        <f aca="false">Portfolio!F436</f>
        <v>5</v>
      </c>
      <c r="G436" s="16" t="str">
        <f aca="false">IF(OR(F436&gt;='Cover &amp; Assumptions'!$C$22,Portfolio!I436=1),"Stage 3",IF(OR(F436&gt;=30,D436&gt;'Cover &amp; Assumptions'!$C$21),"Stage 2","Stage 1"))</f>
        <v>Stage 2</v>
      </c>
      <c r="H436" s="16" t="n">
        <f aca="false">IF(G436="Stage 1",12,MIN(Portfolio!H436,60))</f>
        <v>48</v>
      </c>
      <c r="I436" s="24" t="n">
        <f aca="false">1-(1-D436)^(H436/12)</f>
        <v>0.67983032856341</v>
      </c>
      <c r="J436" s="24" t="n">
        <f aca="false">IF(G436="Stage 1",D436,I436)</f>
        <v>0.67983032856341</v>
      </c>
      <c r="K436" s="25" t="n">
        <f aca="false">J436*'Cover &amp; Assumptions'!$D$11*E436*'Cover &amp; Assumptions'!$E$11*C436</f>
        <v>9935.3325702115</v>
      </c>
      <c r="L436" s="25" t="n">
        <f aca="false">J436*'Cover &amp; Assumptions'!$D$12*E436*'Cover &amp; Assumptions'!$E$12*C436</f>
        <v>12303.8174244105</v>
      </c>
      <c r="M436" s="25" t="n">
        <f aca="false">J436*'Cover &amp; Assumptions'!$D$13*E436*'Cover &amp; Assumptions'!$E$13*C436</f>
        <v>21408.6423184743</v>
      </c>
      <c r="N436" s="25" t="n">
        <f aca="false">K436*'Cover &amp; Assumptions'!$C$11+L436*'Cover &amp; Assumptions'!$C$12+M436*'Cover &amp; Assumptions'!$C$13</f>
        <v>14106.3266770867</v>
      </c>
    </row>
    <row r="437" customFormat="false" ht="15" hidden="false" customHeight="false" outlineLevel="0" collapsed="false">
      <c r="A437" s="17" t="str">
        <f aca="false">Portfolio!A437</f>
        <v>UKSME-105512</v>
      </c>
      <c r="B437" s="17" t="str">
        <f aca="false">Portfolio!B437</f>
        <v>Real Estate</v>
      </c>
      <c r="C437" s="21" t="n">
        <f aca="false">Portfolio!D437</f>
        <v>27565</v>
      </c>
      <c r="D437" s="22" t="n">
        <f aca="false">Portfolio!G437</f>
        <v>0.167786566271858</v>
      </c>
      <c r="E437" s="23" t="n">
        <f aca="false">Portfolio!E437</f>
        <v>0.195</v>
      </c>
      <c r="F437" s="17" t="n">
        <f aca="false">Portfolio!F437</f>
        <v>0</v>
      </c>
      <c r="G437" s="16" t="str">
        <f aca="false">IF(OR(F437&gt;='Cover &amp; Assumptions'!$C$22,Portfolio!I437=1),"Stage 3",IF(OR(F437&gt;=30,D437&gt;'Cover &amp; Assumptions'!$C$21),"Stage 2","Stage 1"))</f>
        <v>Stage 2</v>
      </c>
      <c r="H437" s="16" t="n">
        <f aca="false">IF(G437="Stage 1",12,MIN(Portfolio!H437,60))</f>
        <v>36</v>
      </c>
      <c r="I437" s="24" t="n">
        <f aca="false">1-(1-D437)^(H437/12)</f>
        <v>0.423626286440514</v>
      </c>
      <c r="J437" s="24" t="n">
        <f aca="false">IF(G437="Stage 1",D437,I437)</f>
        <v>0.423626286440514</v>
      </c>
      <c r="K437" s="25" t="n">
        <f aca="false">J437*'Cover &amp; Assumptions'!$D$11*E437*'Cover &amp; Assumptions'!$E$11*C437</f>
        <v>1838.73033005595</v>
      </c>
      <c r="L437" s="25" t="n">
        <f aca="false">J437*'Cover &amp; Assumptions'!$D$12*E437*'Cover &amp; Assumptions'!$E$12*C437</f>
        <v>2277.06542421789</v>
      </c>
      <c r="M437" s="25" t="n">
        <f aca="false">J437*'Cover &amp; Assumptions'!$D$13*E437*'Cover &amp; Assumptions'!$E$13*C437</f>
        <v>3962.09383813913</v>
      </c>
      <c r="N437" s="25" t="n">
        <f aca="false">K437*'Cover &amp; Assumptions'!$C$11+L437*'Cover &amp; Assumptions'!$C$12+M437*'Cover &amp; Assumptions'!$C$13</f>
        <v>2610.65550886581</v>
      </c>
    </row>
    <row r="438" customFormat="false" ht="15" hidden="false" customHeight="false" outlineLevel="0" collapsed="false">
      <c r="A438" s="17" t="str">
        <f aca="false">Portfolio!A438</f>
        <v>UKSME-104268</v>
      </c>
      <c r="B438" s="17" t="str">
        <f aca="false">Portfolio!B438</f>
        <v>Retail</v>
      </c>
      <c r="C438" s="21" t="n">
        <f aca="false">Portfolio!D438</f>
        <v>58124</v>
      </c>
      <c r="D438" s="22" t="n">
        <f aca="false">Portfolio!G438</f>
        <v>0.001</v>
      </c>
      <c r="E438" s="23" t="n">
        <f aca="false">Portfolio!E438</f>
        <v>0.235</v>
      </c>
      <c r="F438" s="17" t="n">
        <f aca="false">Portfolio!F438</f>
        <v>0</v>
      </c>
      <c r="G438" s="16" t="str">
        <f aca="false">IF(OR(F438&gt;='Cover &amp; Assumptions'!$C$22,Portfolio!I438=1),"Stage 3",IF(OR(F438&gt;=30,D438&gt;'Cover &amp; Assumptions'!$C$21),"Stage 2","Stage 1"))</f>
        <v>Stage 1</v>
      </c>
      <c r="H438" s="16" t="n">
        <f aca="false">IF(G438="Stage 1",12,MIN(Portfolio!H438,60))</f>
        <v>12</v>
      </c>
      <c r="I438" s="24" t="n">
        <f aca="false">1-(1-D438)^(H438/12)</f>
        <v>0.001</v>
      </c>
      <c r="J438" s="24" t="n">
        <f aca="false">IF(G438="Stage 1",D438,I438)</f>
        <v>0.001</v>
      </c>
      <c r="K438" s="25" t="n">
        <f aca="false">J438*'Cover &amp; Assumptions'!$D$11*E438*'Cover &amp; Assumptions'!$E$11*C438</f>
        <v>11.02975555</v>
      </c>
      <c r="L438" s="25" t="n">
        <f aca="false">J438*'Cover &amp; Assumptions'!$D$12*E438*'Cover &amp; Assumptions'!$E$12*C438</f>
        <v>13.65914</v>
      </c>
      <c r="M438" s="25" t="n">
        <f aca="false">J438*'Cover &amp; Assumptions'!$D$13*E438*'Cover &amp; Assumptions'!$E$13*C438</f>
        <v>23.7669036</v>
      </c>
      <c r="N438" s="25" t="n">
        <f aca="false">K438*'Cover &amp; Assumptions'!$C$11+L438*'Cover &amp; Assumptions'!$C$12+M438*'Cover &amp; Assumptions'!$C$13</f>
        <v>15.66020401</v>
      </c>
    </row>
    <row r="439" customFormat="false" ht="15" hidden="false" customHeight="false" outlineLevel="0" collapsed="false">
      <c r="A439" s="17" t="str">
        <f aca="false">Portfolio!A439</f>
        <v>UKSME-103722</v>
      </c>
      <c r="B439" s="17" t="str">
        <f aca="false">Portfolio!B439</f>
        <v>Retail</v>
      </c>
      <c r="C439" s="21" t="n">
        <f aca="false">Portfolio!D439</f>
        <v>24083</v>
      </c>
      <c r="D439" s="22" t="n">
        <f aca="false">Portfolio!G439</f>
        <v>0.0899671986582785</v>
      </c>
      <c r="E439" s="23" t="n">
        <f aca="false">Portfolio!E439</f>
        <v>0.585</v>
      </c>
      <c r="F439" s="17" t="n">
        <f aca="false">Portfolio!F439</f>
        <v>0</v>
      </c>
      <c r="G439" s="16" t="str">
        <f aca="false">IF(OR(F439&gt;='Cover &amp; Assumptions'!$C$22,Portfolio!I439=1),"Stage 3",IF(OR(F439&gt;=30,D439&gt;'Cover &amp; Assumptions'!$C$21),"Stage 2","Stage 1"))</f>
        <v>Stage 1</v>
      </c>
      <c r="H439" s="16" t="n">
        <f aca="false">IF(G439="Stage 1",12,MIN(Portfolio!H439,60))</f>
        <v>12</v>
      </c>
      <c r="I439" s="24" t="n">
        <f aca="false">1-(1-D439)^(H439/12)</f>
        <v>0.0899671986582785</v>
      </c>
      <c r="J439" s="24" t="n">
        <f aca="false">IF(G439="Stage 1",D439,I439)</f>
        <v>0.0899671986582785</v>
      </c>
      <c r="K439" s="25" t="n">
        <f aca="false">J439*'Cover &amp; Assumptions'!$D$11*E439*'Cover &amp; Assumptions'!$E$11*C439</f>
        <v>1023.51256989316</v>
      </c>
      <c r="L439" s="25" t="n">
        <f aca="false">J439*'Cover &amp; Assumptions'!$D$12*E439*'Cover &amp; Assumptions'!$E$12*C439</f>
        <v>1267.50782649308</v>
      </c>
      <c r="M439" s="25" t="n">
        <f aca="false">J439*'Cover &amp; Assumptions'!$D$13*E439*'Cover &amp; Assumptions'!$E$13*C439</f>
        <v>2205.46361809796</v>
      </c>
      <c r="N439" s="25" t="n">
        <f aca="false">K439*'Cover &amp; Assumptions'!$C$11+L439*'Cover &amp; Assumptions'!$C$12+M439*'Cover &amp; Assumptions'!$C$13</f>
        <v>1453.19772307432</v>
      </c>
    </row>
    <row r="440" customFormat="false" ht="15" hidden="false" customHeight="false" outlineLevel="0" collapsed="false">
      <c r="A440" s="17" t="str">
        <f aca="false">Portfolio!A440</f>
        <v>UKSME-107759</v>
      </c>
      <c r="B440" s="17" t="str">
        <f aca="false">Portfolio!B440</f>
        <v>Transport</v>
      </c>
      <c r="C440" s="21" t="n">
        <f aca="false">Portfolio!D440</f>
        <v>36808</v>
      </c>
      <c r="D440" s="22" t="n">
        <f aca="false">Portfolio!G440</f>
        <v>0.164052078453977</v>
      </c>
      <c r="E440" s="23" t="n">
        <f aca="false">Portfolio!E440</f>
        <v>0.366</v>
      </c>
      <c r="F440" s="17" t="n">
        <f aca="false">Portfolio!F440</f>
        <v>0</v>
      </c>
      <c r="G440" s="16" t="str">
        <f aca="false">IF(OR(F440&gt;='Cover &amp; Assumptions'!$C$22,Portfolio!I440=1),"Stage 3",IF(OR(F440&gt;=30,D440&gt;'Cover &amp; Assumptions'!$C$21),"Stage 2","Stage 1"))</f>
        <v>Stage 2</v>
      </c>
      <c r="H440" s="16" t="n">
        <f aca="false">IF(G440="Stage 1",12,MIN(Portfolio!H440,60))</f>
        <v>60</v>
      </c>
      <c r="I440" s="24" t="n">
        <f aca="false">1-(1-D440)^(H440/12)</f>
        <v>0.591778276891572</v>
      </c>
      <c r="J440" s="24" t="n">
        <f aca="false">IF(G440="Stage 1",D440,I440)</f>
        <v>0.591778276891572</v>
      </c>
      <c r="K440" s="25" t="n">
        <f aca="false">J440*'Cover &amp; Assumptions'!$D$11*E440*'Cover &amp; Assumptions'!$E$11*C440</f>
        <v>6437.61285594299</v>
      </c>
      <c r="L440" s="25" t="n">
        <f aca="false">J440*'Cover &amp; Assumptions'!$D$12*E440*'Cover &amp; Assumptions'!$E$12*C440</f>
        <v>7972.27598259194</v>
      </c>
      <c r="M440" s="25" t="n">
        <f aca="false">J440*'Cover &amp; Assumptions'!$D$13*E440*'Cover &amp; Assumptions'!$E$13*C440</f>
        <v>13871.76020971</v>
      </c>
      <c r="N440" s="25" t="n">
        <f aca="false">K440*'Cover &amp; Assumptions'!$C$11+L440*'Cover &amp; Assumptions'!$C$12+M440*'Cover &amp; Assumptions'!$C$13</f>
        <v>9140.21441404166</v>
      </c>
    </row>
    <row r="441" customFormat="false" ht="15" hidden="false" customHeight="false" outlineLevel="0" collapsed="false">
      <c r="A441" s="17" t="str">
        <f aca="false">Portfolio!A441</f>
        <v>UKSME-109967</v>
      </c>
      <c r="B441" s="17" t="str">
        <f aca="false">Portfolio!B441</f>
        <v>Retail</v>
      </c>
      <c r="C441" s="21" t="n">
        <f aca="false">Portfolio!D441</f>
        <v>74504</v>
      </c>
      <c r="D441" s="22" t="n">
        <f aca="false">Portfolio!G441</f>
        <v>0.158951795930341</v>
      </c>
      <c r="E441" s="23" t="n">
        <f aca="false">Portfolio!E441</f>
        <v>0.176</v>
      </c>
      <c r="F441" s="17" t="n">
        <f aca="false">Portfolio!F441</f>
        <v>0</v>
      </c>
      <c r="G441" s="16" t="str">
        <f aca="false">IF(OR(F441&gt;='Cover &amp; Assumptions'!$C$22,Portfolio!I441=1),"Stage 3",IF(OR(F441&gt;=30,D441&gt;'Cover &amp; Assumptions'!$C$21),"Stage 2","Stage 1"))</f>
        <v>Stage 2</v>
      </c>
      <c r="H441" s="16" t="n">
        <f aca="false">IF(G441="Stage 1",12,MIN(Portfolio!H441,60))</f>
        <v>36</v>
      </c>
      <c r="I441" s="24" t="n">
        <f aca="false">1-(1-D441)^(H441/12)</f>
        <v>0.405074391669586</v>
      </c>
      <c r="J441" s="24" t="n">
        <f aca="false">IF(G441="Stage 1",D441,I441)</f>
        <v>0.405074391669586</v>
      </c>
      <c r="K441" s="25" t="n">
        <f aca="false">J441*'Cover &amp; Assumptions'!$D$11*E441*'Cover &amp; Assumptions'!$E$11*C441</f>
        <v>4289.13363122425</v>
      </c>
      <c r="L441" s="25" t="n">
        <f aca="false">J441*'Cover &amp; Assumptions'!$D$12*E441*'Cover &amp; Assumptions'!$E$12*C441</f>
        <v>5311.62059594334</v>
      </c>
      <c r="M441" s="25" t="n">
        <f aca="false">J441*'Cover &amp; Assumptions'!$D$13*E441*'Cover &amp; Assumptions'!$E$13*C441</f>
        <v>9242.21983694141</v>
      </c>
      <c r="N441" s="25" t="n">
        <f aca="false">K441*'Cover &amp; Assumptions'!$C$11+L441*'Cover &amp; Assumptions'!$C$12+M441*'Cover &amp; Assumptions'!$C$13</f>
        <v>6089.77301324904</v>
      </c>
    </row>
    <row r="442" customFormat="false" ht="15" hidden="false" customHeight="false" outlineLevel="0" collapsed="false">
      <c r="A442" s="17" t="str">
        <f aca="false">Portfolio!A442</f>
        <v>UKSME-105173</v>
      </c>
      <c r="B442" s="17" t="str">
        <f aca="false">Portfolio!B442</f>
        <v>Professional Services</v>
      </c>
      <c r="C442" s="21" t="n">
        <f aca="false">Portfolio!D442</f>
        <v>9081</v>
      </c>
      <c r="D442" s="22" t="n">
        <f aca="false">Portfolio!G442</f>
        <v>0.0056508303874378</v>
      </c>
      <c r="E442" s="23" t="n">
        <f aca="false">Portfolio!E442</f>
        <v>0.35</v>
      </c>
      <c r="F442" s="17" t="n">
        <f aca="false">Portfolio!F442</f>
        <v>0</v>
      </c>
      <c r="G442" s="16" t="str">
        <f aca="false">IF(OR(F442&gt;='Cover &amp; Assumptions'!$C$22,Portfolio!I442=1),"Stage 3",IF(OR(F442&gt;=30,D442&gt;'Cover &amp; Assumptions'!$C$21),"Stage 2","Stage 1"))</f>
        <v>Stage 1</v>
      </c>
      <c r="H442" s="16" t="n">
        <f aca="false">IF(G442="Stage 1",12,MIN(Portfolio!H442,60))</f>
        <v>12</v>
      </c>
      <c r="I442" s="24" t="n">
        <f aca="false">1-(1-D442)^(H442/12)</f>
        <v>0.00565083038743786</v>
      </c>
      <c r="J442" s="24" t="n">
        <f aca="false">IF(G442="Stage 1",D442,I442)</f>
        <v>0.0056508303874378</v>
      </c>
      <c r="K442" s="25" t="n">
        <f aca="false">J442*'Cover &amp; Assumptions'!$D$11*E442*'Cover &amp; Assumptions'!$E$11*C442</f>
        <v>14.5029557852447</v>
      </c>
      <c r="L442" s="25" t="n">
        <f aca="false">J442*'Cover &amp; Assumptions'!$D$12*E442*'Cover &amp; Assumptions'!$E$12*C442</f>
        <v>17.9603167619129</v>
      </c>
      <c r="M442" s="25" t="n">
        <f aca="false">J442*'Cover &amp; Assumptions'!$D$13*E442*'Cover &amp; Assumptions'!$E$13*C442</f>
        <v>31.2509511657285</v>
      </c>
      <c r="N442" s="25" t="n">
        <f aca="false">K442*'Cover &amp; Assumptions'!$C$11+L442*'Cover &amp; Assumptions'!$C$12+M442*'Cover &amp; Assumptions'!$C$13</f>
        <v>20.5915031675332</v>
      </c>
    </row>
    <row r="443" customFormat="false" ht="15" hidden="false" customHeight="false" outlineLevel="0" collapsed="false">
      <c r="A443" s="17" t="str">
        <f aca="false">Portfolio!A443</f>
        <v>UKSME-107115</v>
      </c>
      <c r="B443" s="17" t="str">
        <f aca="false">Portfolio!B443</f>
        <v>Wholesale</v>
      </c>
      <c r="C443" s="21" t="n">
        <f aca="false">Portfolio!D443</f>
        <v>269615</v>
      </c>
      <c r="D443" s="22" t="n">
        <f aca="false">Portfolio!G443</f>
        <v>0.130548649215882</v>
      </c>
      <c r="E443" s="23" t="n">
        <f aca="false">Portfolio!E443</f>
        <v>0.601</v>
      </c>
      <c r="F443" s="17" t="n">
        <f aca="false">Portfolio!F443</f>
        <v>0</v>
      </c>
      <c r="G443" s="16" t="str">
        <f aca="false">IF(OR(F443&gt;='Cover &amp; Assumptions'!$C$22,Portfolio!I443=1),"Stage 3",IF(OR(F443&gt;=30,D443&gt;'Cover &amp; Assumptions'!$C$21),"Stage 2","Stage 1"))</f>
        <v>Stage 1</v>
      </c>
      <c r="H443" s="16" t="n">
        <f aca="false">IF(G443="Stage 1",12,MIN(Portfolio!H443,60))</f>
        <v>12</v>
      </c>
      <c r="I443" s="24" t="n">
        <f aca="false">1-(1-D443)^(H443/12)</f>
        <v>0.130548649215882</v>
      </c>
      <c r="J443" s="24" t="n">
        <f aca="false">IF(G443="Stage 1",D443,I443)</f>
        <v>0.130548649215882</v>
      </c>
      <c r="K443" s="25" t="n">
        <f aca="false">J443*'Cover &amp; Assumptions'!$D$11*E443*'Cover &amp; Assumptions'!$E$11*C443</f>
        <v>17081.7922645678</v>
      </c>
      <c r="L443" s="25" t="n">
        <f aca="false">J443*'Cover &amp; Assumptions'!$D$12*E443*'Cover &amp; Assumptions'!$E$12*C443</f>
        <v>21153.9223090624</v>
      </c>
      <c r="M443" s="25" t="n">
        <f aca="false">J443*'Cover &amp; Assumptions'!$D$13*E443*'Cover &amp; Assumptions'!$E$13*C443</f>
        <v>36807.8248177685</v>
      </c>
      <c r="N443" s="25" t="n">
        <f aca="false">K443*'Cover &amp; Assumptions'!$C$11+L443*'Cover &amp; Assumptions'!$C$12+M443*'Cover &amp; Assumptions'!$C$13</f>
        <v>24252.97192734</v>
      </c>
    </row>
    <row r="444" customFormat="false" ht="15" hidden="false" customHeight="false" outlineLevel="0" collapsed="false">
      <c r="A444" s="17" t="str">
        <f aca="false">Portfolio!A444</f>
        <v>UKSME-108799</v>
      </c>
      <c r="B444" s="17" t="str">
        <f aca="false">Portfolio!B444</f>
        <v>Healthcare</v>
      </c>
      <c r="C444" s="21" t="n">
        <f aca="false">Portfolio!D444</f>
        <v>25049</v>
      </c>
      <c r="D444" s="22" t="n">
        <f aca="false">Portfolio!G444</f>
        <v>0.0970598953261892</v>
      </c>
      <c r="E444" s="23" t="n">
        <f aca="false">Portfolio!E444</f>
        <v>0.366</v>
      </c>
      <c r="F444" s="17" t="n">
        <f aca="false">Portfolio!F444</f>
        <v>0</v>
      </c>
      <c r="G444" s="16" t="str">
        <f aca="false">IF(OR(F444&gt;='Cover &amp; Assumptions'!$C$22,Portfolio!I444=1),"Stage 3",IF(OR(F444&gt;=30,D444&gt;'Cover &amp; Assumptions'!$C$21),"Stage 2","Stage 1"))</f>
        <v>Stage 1</v>
      </c>
      <c r="H444" s="16" t="n">
        <f aca="false">IF(G444="Stage 1",12,MIN(Portfolio!H444,60))</f>
        <v>12</v>
      </c>
      <c r="I444" s="24" t="n">
        <f aca="false">1-(1-D444)^(H444/12)</f>
        <v>0.0970598953261892</v>
      </c>
      <c r="J444" s="24" t="n">
        <f aca="false">IF(G444="Stage 1",D444,I444)</f>
        <v>0.0970598953261892</v>
      </c>
      <c r="K444" s="25" t="n">
        <f aca="false">J444*'Cover &amp; Assumptions'!$D$11*E444*'Cover &amp; Assumptions'!$E$11*C444</f>
        <v>718.544761875909</v>
      </c>
      <c r="L444" s="25" t="n">
        <f aca="false">J444*'Cover &amp; Assumptions'!$D$12*E444*'Cover &amp; Assumptions'!$E$12*C444</f>
        <v>889.838714397411</v>
      </c>
      <c r="M444" s="25" t="n">
        <f aca="false">J444*'Cover &amp; Assumptions'!$D$13*E444*'Cover &amp; Assumptions'!$E$13*C444</f>
        <v>1548.3193630515</v>
      </c>
      <c r="N444" s="25" t="n">
        <f aca="false">K444*'Cover &amp; Assumptions'!$C$11+L444*'Cover &amp; Assumptions'!$C$12+M444*'Cover &amp; Assumptions'!$C$13</f>
        <v>1020.20008605663</v>
      </c>
    </row>
    <row r="445" customFormat="false" ht="15" hidden="false" customHeight="false" outlineLevel="0" collapsed="false">
      <c r="A445" s="17" t="str">
        <f aca="false">Portfolio!A445</f>
        <v>UKSME-100163</v>
      </c>
      <c r="B445" s="17" t="str">
        <f aca="false">Portfolio!B445</f>
        <v>Construction</v>
      </c>
      <c r="C445" s="21" t="n">
        <f aca="false">Portfolio!D445</f>
        <v>249070</v>
      </c>
      <c r="D445" s="22" t="n">
        <f aca="false">Portfolio!G445</f>
        <v>0.197230209097337</v>
      </c>
      <c r="E445" s="23" t="n">
        <f aca="false">Portfolio!E445</f>
        <v>0.856</v>
      </c>
      <c r="F445" s="17" t="n">
        <f aca="false">Portfolio!F445</f>
        <v>0</v>
      </c>
      <c r="G445" s="16" t="str">
        <f aca="false">IF(OR(F445&gt;='Cover &amp; Assumptions'!$C$22,Portfolio!I445=1),"Stage 3",IF(OR(F445&gt;=30,D445&gt;'Cover &amp; Assumptions'!$C$21),"Stage 2","Stage 1"))</f>
        <v>Stage 2</v>
      </c>
      <c r="H445" s="16" t="n">
        <f aca="false">IF(G445="Stage 1",12,MIN(Portfolio!H445,60))</f>
        <v>36</v>
      </c>
      <c r="I445" s="24" t="n">
        <f aca="false">1-(1-D445)^(H445/12)</f>
        <v>0.48266356803782</v>
      </c>
      <c r="J445" s="24" t="n">
        <f aca="false">IF(G445="Stage 1",D445,I445)</f>
        <v>0.48266356803782</v>
      </c>
      <c r="K445" s="25" t="n">
        <f aca="false">J445*'Cover &amp; Assumptions'!$D$11*E445*'Cover &amp; Assumptions'!$E$11*C445</f>
        <v>83096.4050330813</v>
      </c>
      <c r="L445" s="25" t="n">
        <f aca="false">J445*'Cover &amp; Assumptions'!$D$12*E445*'Cover &amp; Assumptions'!$E$12*C445</f>
        <v>102905.76474685</v>
      </c>
      <c r="M445" s="25" t="n">
        <f aca="false">J445*'Cover &amp; Assumptions'!$D$13*E445*'Cover &amp; Assumptions'!$E$13*C445</f>
        <v>179056.030659519</v>
      </c>
      <c r="N445" s="25" t="n">
        <f aca="false">K445*'Cover &amp; Assumptions'!$C$11+L445*'Cover &amp; Assumptions'!$C$12+M445*'Cover &amp; Assumptions'!$C$13</f>
        <v>117981.459282263</v>
      </c>
    </row>
    <row r="446" customFormat="false" ht="15" hidden="false" customHeight="false" outlineLevel="0" collapsed="false">
      <c r="A446" s="17" t="str">
        <f aca="false">Portfolio!A446</f>
        <v>UKSME-103723</v>
      </c>
      <c r="B446" s="17" t="str">
        <f aca="false">Portfolio!B446</f>
        <v>Transport</v>
      </c>
      <c r="C446" s="21" t="n">
        <f aca="false">Portfolio!D446</f>
        <v>84075</v>
      </c>
      <c r="D446" s="22" t="n">
        <f aca="false">Portfolio!G446</f>
        <v>0.123618875266153</v>
      </c>
      <c r="E446" s="23" t="n">
        <f aca="false">Portfolio!E446</f>
        <v>0.245</v>
      </c>
      <c r="F446" s="17" t="n">
        <f aca="false">Portfolio!F446</f>
        <v>0</v>
      </c>
      <c r="G446" s="16" t="str">
        <f aca="false">IF(OR(F446&gt;='Cover &amp; Assumptions'!$C$22,Portfolio!I446=1),"Stage 3",IF(OR(F446&gt;=30,D446&gt;'Cover &amp; Assumptions'!$C$21),"Stage 2","Stage 1"))</f>
        <v>Stage 1</v>
      </c>
      <c r="H446" s="16" t="n">
        <f aca="false">IF(G446="Stage 1",12,MIN(Portfolio!H446,60))</f>
        <v>12</v>
      </c>
      <c r="I446" s="24" t="n">
        <f aca="false">1-(1-D446)^(H446/12)</f>
        <v>0.123618875266153</v>
      </c>
      <c r="J446" s="24" t="n">
        <f aca="false">IF(G446="Stage 1",D446,I446)</f>
        <v>0.123618875266153</v>
      </c>
      <c r="K446" s="25" t="n">
        <f aca="false">J446*'Cover &amp; Assumptions'!$D$11*E446*'Cover &amp; Assumptions'!$E$11*C446</f>
        <v>2056.17596947193</v>
      </c>
      <c r="L446" s="25" t="n">
        <f aca="false">J446*'Cover &amp; Assumptions'!$D$12*E446*'Cover &amp; Assumptions'!$E$12*C446</f>
        <v>2546.34794981044</v>
      </c>
      <c r="M446" s="25" t="n">
        <f aca="false">J446*'Cover &amp; Assumptions'!$D$13*E446*'Cover &amp; Assumptions'!$E$13*C446</f>
        <v>4430.64543267017</v>
      </c>
      <c r="N446" s="25" t="n">
        <f aca="false">K446*'Cover &amp; Assumptions'!$C$11+L446*'Cover &amp; Assumptions'!$C$12+M446*'Cover &amp; Assumptions'!$C$13</f>
        <v>2919.38792445767</v>
      </c>
    </row>
    <row r="447" customFormat="false" ht="15" hidden="false" customHeight="false" outlineLevel="0" collapsed="false">
      <c r="A447" s="17" t="str">
        <f aca="false">Portfolio!A447</f>
        <v>UKSME-108264</v>
      </c>
      <c r="B447" s="17" t="str">
        <f aca="false">Portfolio!B447</f>
        <v>Wholesale</v>
      </c>
      <c r="C447" s="21" t="n">
        <f aca="false">Portfolio!D447</f>
        <v>39612</v>
      </c>
      <c r="D447" s="22" t="n">
        <f aca="false">Portfolio!G447</f>
        <v>0.210188422475609</v>
      </c>
      <c r="E447" s="23" t="n">
        <f aca="false">Portfolio!E447</f>
        <v>0.39</v>
      </c>
      <c r="F447" s="17" t="n">
        <f aca="false">Portfolio!F447</f>
        <v>0</v>
      </c>
      <c r="G447" s="16" t="str">
        <f aca="false">IF(OR(F447&gt;='Cover &amp; Assumptions'!$C$22,Portfolio!I447=1),"Stage 3",IF(OR(F447&gt;=30,D447&gt;'Cover &amp; Assumptions'!$C$21),"Stage 2","Stage 1"))</f>
        <v>Stage 2</v>
      </c>
      <c r="H447" s="16" t="n">
        <f aca="false">IF(G447="Stage 1",12,MIN(Portfolio!H447,60))</f>
        <v>36</v>
      </c>
      <c r="I447" s="24" t="n">
        <f aca="false">1-(1-D447)^(H447/12)</f>
        <v>0.507313699265592</v>
      </c>
      <c r="J447" s="24" t="n">
        <f aca="false">IF(G447="Stage 1",D447,I447)</f>
        <v>0.507313699265592</v>
      </c>
      <c r="K447" s="25" t="n">
        <f aca="false">J447*'Cover &amp; Assumptions'!$D$11*E447*'Cover &amp; Assumptions'!$E$11*C447</f>
        <v>6328.64155215308</v>
      </c>
      <c r="L447" s="25" t="n">
        <f aca="false">J447*'Cover &amp; Assumptions'!$D$12*E447*'Cover &amp; Assumptions'!$E$12*C447</f>
        <v>7837.32699957037</v>
      </c>
      <c r="M447" s="25" t="n">
        <f aca="false">J447*'Cover &amp; Assumptions'!$D$13*E447*'Cover &amp; Assumptions'!$E$13*C447</f>
        <v>13636.9489792524</v>
      </c>
      <c r="N447" s="25" t="n">
        <f aca="false">K447*'Cover &amp; Assumptions'!$C$11+L447*'Cover &amp; Assumptions'!$C$12+M447*'Cover &amp; Assumptions'!$C$13</f>
        <v>8985.49540500743</v>
      </c>
    </row>
    <row r="448" customFormat="false" ht="15" hidden="false" customHeight="false" outlineLevel="0" collapsed="false">
      <c r="A448" s="17" t="str">
        <f aca="false">Portfolio!A448</f>
        <v>UKSME-106013</v>
      </c>
      <c r="B448" s="17" t="str">
        <f aca="false">Portfolio!B448</f>
        <v>Construction</v>
      </c>
      <c r="C448" s="21" t="n">
        <f aca="false">Portfolio!D448</f>
        <v>60973</v>
      </c>
      <c r="D448" s="22" t="n">
        <f aca="false">Portfolio!G448</f>
        <v>0.112795571215672</v>
      </c>
      <c r="E448" s="23" t="n">
        <f aca="false">Portfolio!E448</f>
        <v>0.783</v>
      </c>
      <c r="F448" s="17" t="n">
        <f aca="false">Portfolio!F448</f>
        <v>0</v>
      </c>
      <c r="G448" s="16" t="str">
        <f aca="false">IF(OR(F448&gt;='Cover &amp; Assumptions'!$C$22,Portfolio!I448=1),"Stage 3",IF(OR(F448&gt;=30,D448&gt;'Cover &amp; Assumptions'!$C$21),"Stage 2","Stage 1"))</f>
        <v>Stage 1</v>
      </c>
      <c r="H448" s="16" t="n">
        <f aca="false">IF(G448="Stage 1",12,MIN(Portfolio!H448,60))</f>
        <v>12</v>
      </c>
      <c r="I448" s="24" t="n">
        <f aca="false">1-(1-D448)^(H448/12)</f>
        <v>0.112795571215672</v>
      </c>
      <c r="J448" s="24" t="n">
        <f aca="false">IF(G448="Stage 1",D448,I448)</f>
        <v>0.112795571215672</v>
      </c>
      <c r="K448" s="25" t="n">
        <f aca="false">J448*'Cover &amp; Assumptions'!$D$11*E448*'Cover &amp; Assumptions'!$E$11*C448</f>
        <v>4348.44423236847</v>
      </c>
      <c r="L448" s="25" t="n">
        <f aca="false">J448*'Cover &amp; Assumptions'!$D$12*E448*'Cover &amp; Assumptions'!$E$12*C448</f>
        <v>5385.07025680306</v>
      </c>
      <c r="M448" s="25" t="n">
        <f aca="false">J448*'Cover &amp; Assumptions'!$D$13*E448*'Cover &amp; Assumptions'!$E$13*C448</f>
        <v>9370.02224683732</v>
      </c>
      <c r="N448" s="25" t="n">
        <f aca="false">K448*'Cover &amp; Assumptions'!$C$11+L448*'Cover &amp; Assumptions'!$C$12+M448*'Cover &amp; Assumptions'!$C$13</f>
        <v>6173.98304942471</v>
      </c>
    </row>
    <row r="449" customFormat="false" ht="15" hidden="false" customHeight="false" outlineLevel="0" collapsed="false">
      <c r="A449" s="17" t="str">
        <f aca="false">Portfolio!A449</f>
        <v>UKSME-104063</v>
      </c>
      <c r="B449" s="17" t="str">
        <f aca="false">Portfolio!B449</f>
        <v>Retail</v>
      </c>
      <c r="C449" s="21" t="n">
        <f aca="false">Portfolio!D449</f>
        <v>51725</v>
      </c>
      <c r="D449" s="22" t="n">
        <f aca="false">Portfolio!G449</f>
        <v>0.001</v>
      </c>
      <c r="E449" s="23" t="n">
        <f aca="false">Portfolio!E449</f>
        <v>0.571</v>
      </c>
      <c r="F449" s="17" t="n">
        <f aca="false">Portfolio!F449</f>
        <v>0</v>
      </c>
      <c r="G449" s="16" t="str">
        <f aca="false">IF(OR(F449&gt;='Cover &amp; Assumptions'!$C$22,Portfolio!I449=1),"Stage 3",IF(OR(F449&gt;=30,D449&gt;'Cover &amp; Assumptions'!$C$21),"Stage 2","Stage 1"))</f>
        <v>Stage 1</v>
      </c>
      <c r="H449" s="16" t="n">
        <f aca="false">IF(G449="Stage 1",12,MIN(Portfolio!H449,60))</f>
        <v>12</v>
      </c>
      <c r="I449" s="24" t="n">
        <f aca="false">1-(1-D449)^(H449/12)</f>
        <v>0.001</v>
      </c>
      <c r="J449" s="24" t="n">
        <f aca="false">IF(G449="Stage 1",D449,I449)</f>
        <v>0.001</v>
      </c>
      <c r="K449" s="25" t="n">
        <f aca="false">J449*'Cover &amp; Assumptions'!$D$11*E449*'Cover &amp; Assumptions'!$E$11*C449</f>
        <v>23.8494923125</v>
      </c>
      <c r="L449" s="25" t="n">
        <f aca="false">J449*'Cover &amp; Assumptions'!$D$12*E449*'Cover &amp; Assumptions'!$E$12*C449</f>
        <v>29.534975</v>
      </c>
      <c r="M449" s="25" t="n">
        <f aca="false">J449*'Cover &amp; Assumptions'!$D$13*E449*'Cover &amp; Assumptions'!$E$13*C449</f>
        <v>51.3908565</v>
      </c>
      <c r="N449" s="25" t="n">
        <f aca="false">K449*'Cover &amp; Assumptions'!$C$11+L449*'Cover &amp; Assumptions'!$C$12+M449*'Cover &amp; Assumptions'!$C$13</f>
        <v>33.8618488375</v>
      </c>
    </row>
    <row r="450" customFormat="false" ht="15" hidden="false" customHeight="false" outlineLevel="0" collapsed="false">
      <c r="A450" s="17" t="str">
        <f aca="false">Portfolio!A450</f>
        <v>UKSME-106760</v>
      </c>
      <c r="B450" s="17" t="str">
        <f aca="false">Portfolio!B450</f>
        <v>Real Estate</v>
      </c>
      <c r="C450" s="21" t="n">
        <f aca="false">Portfolio!D450</f>
        <v>30353</v>
      </c>
      <c r="D450" s="22" t="n">
        <f aca="false">Portfolio!G450</f>
        <v>0.150600358475574</v>
      </c>
      <c r="E450" s="23" t="n">
        <f aca="false">Portfolio!E450</f>
        <v>0.05</v>
      </c>
      <c r="F450" s="17" t="n">
        <f aca="false">Portfolio!F450</f>
        <v>0</v>
      </c>
      <c r="G450" s="16" t="str">
        <f aca="false">IF(OR(F450&gt;='Cover &amp; Assumptions'!$C$22,Portfolio!I450=1),"Stage 3",IF(OR(F450&gt;=30,D450&gt;'Cover &amp; Assumptions'!$C$21),"Stage 2","Stage 1"))</f>
        <v>Stage 2</v>
      </c>
      <c r="H450" s="16" t="n">
        <f aca="false">IF(G450="Stage 1",12,MIN(Portfolio!H450,60))</f>
        <v>48</v>
      </c>
      <c r="I450" s="24" t="n">
        <f aca="false">1-(1-D450)^(H450/12)</f>
        <v>0.479466968865488</v>
      </c>
      <c r="J450" s="24" t="n">
        <f aca="false">IF(G450="Stage 1",D450,I450)</f>
        <v>0.479466968865488</v>
      </c>
      <c r="K450" s="25" t="n">
        <f aca="false">J450*'Cover &amp; Assumptions'!$D$11*E450*'Cover &amp; Assumptions'!$E$11*C450</f>
        <v>587.587909078706</v>
      </c>
      <c r="L450" s="25" t="n">
        <f aca="false">J450*'Cover &amp; Assumptions'!$D$12*E450*'Cover &amp; Assumptions'!$E$12*C450</f>
        <v>727.663045298707</v>
      </c>
      <c r="M450" s="25" t="n">
        <f aca="false">J450*'Cover &amp; Assumptions'!$D$13*E450*'Cover &amp; Assumptions'!$E$13*C450</f>
        <v>1266.13369881975</v>
      </c>
      <c r="N450" s="25" t="n">
        <f aca="false">K450*'Cover &amp; Assumptions'!$C$11+L450*'Cover &amp; Assumptions'!$C$12+M450*'Cover &amp; Assumptions'!$C$13</f>
        <v>834.265681434968</v>
      </c>
    </row>
    <row r="451" customFormat="false" ht="15" hidden="false" customHeight="false" outlineLevel="0" collapsed="false">
      <c r="A451" s="17" t="str">
        <f aca="false">Portfolio!A451</f>
        <v>UKSME-102168</v>
      </c>
      <c r="B451" s="17" t="str">
        <f aca="false">Portfolio!B451</f>
        <v>Transport</v>
      </c>
      <c r="C451" s="21" t="n">
        <f aca="false">Portfolio!D451</f>
        <v>68090</v>
      </c>
      <c r="D451" s="22" t="n">
        <f aca="false">Portfolio!G451</f>
        <v>0.167186167711003</v>
      </c>
      <c r="E451" s="23" t="n">
        <f aca="false">Portfolio!E451</f>
        <v>0.83</v>
      </c>
      <c r="F451" s="17" t="n">
        <f aca="false">Portfolio!F451</f>
        <v>5</v>
      </c>
      <c r="G451" s="16" t="str">
        <f aca="false">IF(OR(F451&gt;='Cover &amp; Assumptions'!$C$22,Portfolio!I451=1),"Stage 3",IF(OR(F451&gt;=30,D451&gt;'Cover &amp; Assumptions'!$C$21),"Stage 2","Stage 1"))</f>
        <v>Stage 3</v>
      </c>
      <c r="H451" s="16" t="n">
        <f aca="false">IF(G451="Stage 1",12,MIN(Portfolio!H451,60))</f>
        <v>36</v>
      </c>
      <c r="I451" s="24" t="n">
        <f aca="false">1-(1-D451)^(H451/12)</f>
        <v>0.422377915575529</v>
      </c>
      <c r="J451" s="24" t="n">
        <f aca="false">IF(G451="Stage 1",D451,I451)</f>
        <v>0.422377915575529</v>
      </c>
      <c r="K451" s="25" t="n">
        <f aca="false">J451*'Cover &amp; Assumptions'!$D$11*E451*'Cover &amp; Assumptions'!$E$11*C451</f>
        <v>19275.4781571914</v>
      </c>
      <c r="L451" s="25" t="n">
        <f aca="false">J451*'Cover &amp; Assumptions'!$D$12*E451*'Cover &amp; Assumptions'!$E$12*C451</f>
        <v>23870.5611853763</v>
      </c>
      <c r="M451" s="25" t="n">
        <f aca="false">J451*'Cover &amp; Assumptions'!$D$13*E451*'Cover &amp; Assumptions'!$E$13*C451</f>
        <v>41534.7764625548</v>
      </c>
      <c r="N451" s="25" t="n">
        <f aca="false">K451*'Cover &amp; Assumptions'!$C$11+L451*'Cover &amp; Assumptions'!$C$12+M451*'Cover &amp; Assumptions'!$C$13</f>
        <v>27367.598399034</v>
      </c>
    </row>
    <row r="452" customFormat="false" ht="15" hidden="false" customHeight="false" outlineLevel="0" collapsed="false">
      <c r="A452" s="17" t="str">
        <f aca="false">Portfolio!A452</f>
        <v>UKSME-103023</v>
      </c>
      <c r="B452" s="17" t="str">
        <f aca="false">Portfolio!B452</f>
        <v>Wholesale</v>
      </c>
      <c r="C452" s="21" t="n">
        <f aca="false">Portfolio!D452</f>
        <v>165252</v>
      </c>
      <c r="D452" s="22" t="n">
        <f aca="false">Portfolio!G452</f>
        <v>0.221906183309754</v>
      </c>
      <c r="E452" s="23" t="n">
        <f aca="false">Portfolio!E452</f>
        <v>0.633</v>
      </c>
      <c r="F452" s="17" t="n">
        <f aca="false">Portfolio!F452</f>
        <v>15</v>
      </c>
      <c r="G452" s="16" t="str">
        <f aca="false">IF(OR(F452&gt;='Cover &amp; Assumptions'!$C$22,Portfolio!I452=1),"Stage 3",IF(OR(F452&gt;=30,D452&gt;'Cover &amp; Assumptions'!$C$21),"Stage 2","Stage 1"))</f>
        <v>Stage 2</v>
      </c>
      <c r="H452" s="16" t="n">
        <f aca="false">IF(G452="Stage 1",12,MIN(Portfolio!H452,60))</f>
        <v>36</v>
      </c>
      <c r="I452" s="24" t="n">
        <f aca="false">1-(1-D452)^(H452/12)</f>
        <v>0.528918670231689</v>
      </c>
      <c r="J452" s="24" t="n">
        <f aca="false">IF(G452="Stage 1",D452,I452)</f>
        <v>0.528918670231689</v>
      </c>
      <c r="K452" s="25" t="n">
        <f aca="false">J452*'Cover &amp; Assumptions'!$D$11*E452*'Cover &amp; Assumptions'!$E$11*C452</f>
        <v>44676.7798136317</v>
      </c>
      <c r="L452" s="25" t="n">
        <f aca="false">J452*'Cover &amp; Assumptions'!$D$12*E452*'Cover &amp; Assumptions'!$E$12*C452</f>
        <v>55327.2815029495</v>
      </c>
      <c r="M452" s="25" t="n">
        <f aca="false">J452*'Cover &amp; Assumptions'!$D$13*E452*'Cover &amp; Assumptions'!$E$13*C452</f>
        <v>96269.4698151321</v>
      </c>
      <c r="N452" s="25" t="n">
        <f aca="false">K452*'Cover &amp; Assumptions'!$C$11+L452*'Cover &amp; Assumptions'!$C$12+M452*'Cover &amp; Assumptions'!$C$13</f>
        <v>63432.7282431316</v>
      </c>
    </row>
    <row r="453" customFormat="false" ht="15" hidden="false" customHeight="false" outlineLevel="0" collapsed="false">
      <c r="A453" s="17" t="str">
        <f aca="false">Portfolio!A453</f>
        <v>UKSME-104231</v>
      </c>
      <c r="B453" s="17" t="str">
        <f aca="false">Portfolio!B453</f>
        <v>Real Estate</v>
      </c>
      <c r="C453" s="21" t="n">
        <f aca="false">Portfolio!D453</f>
        <v>245144</v>
      </c>
      <c r="D453" s="22" t="n">
        <f aca="false">Portfolio!G453</f>
        <v>0.215908797360902</v>
      </c>
      <c r="E453" s="23" t="n">
        <f aca="false">Portfolio!E453</f>
        <v>0.617</v>
      </c>
      <c r="F453" s="17" t="n">
        <f aca="false">Portfolio!F453</f>
        <v>0</v>
      </c>
      <c r="G453" s="16" t="str">
        <f aca="false">IF(OR(F453&gt;='Cover &amp; Assumptions'!$C$22,Portfolio!I453=1),"Stage 3",IF(OR(F453&gt;=30,D453&gt;'Cover &amp; Assumptions'!$C$21),"Stage 2","Stage 1"))</f>
        <v>Stage 3</v>
      </c>
      <c r="H453" s="16" t="n">
        <f aca="false">IF(G453="Stage 1",12,MIN(Portfolio!H453,60))</f>
        <v>60</v>
      </c>
      <c r="I453" s="24" t="n">
        <f aca="false">1-(1-D453)^(H453/12)</f>
        <v>0.703630910520132</v>
      </c>
      <c r="J453" s="24" t="n">
        <f aca="false">IF(G453="Stage 1",D453,I453)</f>
        <v>0.703630910520132</v>
      </c>
      <c r="K453" s="25" t="n">
        <f aca="false">J453*'Cover &amp; Assumptions'!$D$11*E453*'Cover &amp; Assumptions'!$E$11*C453</f>
        <v>85939.7078512403</v>
      </c>
      <c r="L453" s="25" t="n">
        <f aca="false">J453*'Cover &amp; Assumptions'!$D$12*E453*'Cover &amp; Assumptions'!$E$12*C453</f>
        <v>106426.882787914</v>
      </c>
      <c r="M453" s="25" t="n">
        <f aca="false">J453*'Cover &amp; Assumptions'!$D$13*E453*'Cover &amp; Assumptions'!$E$13*C453</f>
        <v>185182.77605097</v>
      </c>
      <c r="N453" s="25" t="n">
        <f aca="false">K453*'Cover &amp; Assumptions'!$C$11+L453*'Cover &amp; Assumptions'!$C$12+M453*'Cover &amp; Assumptions'!$C$13</f>
        <v>122018.421116343</v>
      </c>
    </row>
    <row r="454" customFormat="false" ht="15" hidden="false" customHeight="false" outlineLevel="0" collapsed="false">
      <c r="A454" s="17" t="str">
        <f aca="false">Portfolio!A454</f>
        <v>UKSME-104706</v>
      </c>
      <c r="B454" s="17" t="str">
        <f aca="false">Portfolio!B454</f>
        <v>Hospitality</v>
      </c>
      <c r="C454" s="21" t="n">
        <f aca="false">Portfolio!D454</f>
        <v>32055</v>
      </c>
      <c r="D454" s="22" t="n">
        <f aca="false">Portfolio!G454</f>
        <v>0.074334768405332</v>
      </c>
      <c r="E454" s="23" t="n">
        <f aca="false">Portfolio!E454</f>
        <v>0.432</v>
      </c>
      <c r="F454" s="17" t="n">
        <f aca="false">Portfolio!F454</f>
        <v>0</v>
      </c>
      <c r="G454" s="16" t="str">
        <f aca="false">IF(OR(F454&gt;='Cover &amp; Assumptions'!$C$22,Portfolio!I454=1),"Stage 3",IF(OR(F454&gt;=30,D454&gt;'Cover &amp; Assumptions'!$C$21),"Stage 2","Stage 1"))</f>
        <v>Stage 1</v>
      </c>
      <c r="H454" s="16" t="n">
        <f aca="false">IF(G454="Stage 1",12,MIN(Portfolio!H454,60))</f>
        <v>12</v>
      </c>
      <c r="I454" s="24" t="n">
        <f aca="false">1-(1-D454)^(H454/12)</f>
        <v>0.074334768405332</v>
      </c>
      <c r="J454" s="24" t="n">
        <f aca="false">IF(G454="Stage 1",D454,I454)</f>
        <v>0.074334768405332</v>
      </c>
      <c r="K454" s="25" t="n">
        <f aca="false">J454*'Cover &amp; Assumptions'!$D$11*E454*'Cover &amp; Assumptions'!$E$11*C454</f>
        <v>831.216301270091</v>
      </c>
      <c r="L454" s="25" t="n">
        <f aca="false">J454*'Cover &amp; Assumptions'!$D$12*E454*'Cover &amp; Assumptions'!$E$12*C454</f>
        <v>1029.37003253262</v>
      </c>
      <c r="M454" s="25" t="n">
        <f aca="false">J454*'Cover &amp; Assumptions'!$D$13*E454*'Cover &amp; Assumptions'!$E$13*C454</f>
        <v>1791.10385660676</v>
      </c>
      <c r="N454" s="25" t="n">
        <f aca="false">K454*'Cover &amp; Assumptions'!$C$11+L454*'Cover &amp; Assumptions'!$C$12+M454*'Cover &amp; Assumptions'!$C$13</f>
        <v>1180.17274229865</v>
      </c>
    </row>
    <row r="455" customFormat="false" ht="15" hidden="false" customHeight="false" outlineLevel="0" collapsed="false">
      <c r="A455" s="17" t="str">
        <f aca="false">Portfolio!A455</f>
        <v>UKSME-106689</v>
      </c>
      <c r="B455" s="17" t="str">
        <f aca="false">Portfolio!B455</f>
        <v>Healthcare</v>
      </c>
      <c r="C455" s="21" t="n">
        <f aca="false">Portfolio!D455</f>
        <v>55435</v>
      </c>
      <c r="D455" s="22" t="n">
        <f aca="false">Portfolio!G455</f>
        <v>0.0970666172127081</v>
      </c>
      <c r="E455" s="23" t="n">
        <f aca="false">Portfolio!E455</f>
        <v>0.05</v>
      </c>
      <c r="F455" s="17" t="n">
        <f aca="false">Portfolio!F455</f>
        <v>5</v>
      </c>
      <c r="G455" s="16" t="str">
        <f aca="false">IF(OR(F455&gt;='Cover &amp; Assumptions'!$C$22,Portfolio!I455=1),"Stage 3",IF(OR(F455&gt;=30,D455&gt;'Cover &amp; Assumptions'!$C$21),"Stage 2","Stage 1"))</f>
        <v>Stage 1</v>
      </c>
      <c r="H455" s="16" t="n">
        <f aca="false">IF(G455="Stage 1",12,MIN(Portfolio!H455,60))</f>
        <v>12</v>
      </c>
      <c r="I455" s="24" t="n">
        <f aca="false">1-(1-D455)^(H455/12)</f>
        <v>0.0970666172127082</v>
      </c>
      <c r="J455" s="24" t="n">
        <f aca="false">IF(G455="Stage 1",D455,I455)</f>
        <v>0.0970666172127081</v>
      </c>
      <c r="K455" s="25" t="n">
        <f aca="false">J455*'Cover &amp; Assumptions'!$D$11*E455*'Cover &amp; Assumptions'!$E$11*C455</f>
        <v>217.253349979404</v>
      </c>
      <c r="L455" s="25" t="n">
        <f aca="false">J455*'Cover &amp; Assumptions'!$D$12*E455*'Cover &amp; Assumptions'!$E$12*C455</f>
        <v>269.044396259324</v>
      </c>
      <c r="M455" s="25" t="n">
        <f aca="false">J455*'Cover &amp; Assumptions'!$D$13*E455*'Cover &amp; Assumptions'!$E$13*C455</f>
        <v>468.137249491223</v>
      </c>
      <c r="N455" s="25" t="n">
        <f aca="false">K455*'Cover &amp; Assumptions'!$C$11+L455*'Cover &amp; Assumptions'!$C$12+M455*'Cover &amp; Assumptions'!$C$13</f>
        <v>308.459400311315</v>
      </c>
    </row>
    <row r="456" customFormat="false" ht="15" hidden="false" customHeight="false" outlineLevel="0" collapsed="false">
      <c r="A456" s="17" t="str">
        <f aca="false">Portfolio!A456</f>
        <v>UKSME-105635</v>
      </c>
      <c r="B456" s="17" t="str">
        <f aca="false">Portfolio!B456</f>
        <v>Healthcare</v>
      </c>
      <c r="C456" s="21" t="n">
        <f aca="false">Portfolio!D456</f>
        <v>148843</v>
      </c>
      <c r="D456" s="22" t="n">
        <f aca="false">Portfolio!G456</f>
        <v>0.137531015248451</v>
      </c>
      <c r="E456" s="23" t="n">
        <f aca="false">Portfolio!E456</f>
        <v>0.521</v>
      </c>
      <c r="F456" s="17" t="n">
        <f aca="false">Portfolio!F456</f>
        <v>0</v>
      </c>
      <c r="G456" s="16" t="str">
        <f aca="false">IF(OR(F456&gt;='Cover &amp; Assumptions'!$C$22,Portfolio!I456=1),"Stage 3",IF(OR(F456&gt;=30,D456&gt;'Cover &amp; Assumptions'!$C$21),"Stage 2","Stage 1"))</f>
        <v>Stage 3</v>
      </c>
      <c r="H456" s="16" t="n">
        <f aca="false">IF(G456="Stage 1",12,MIN(Portfolio!H456,60))</f>
        <v>60</v>
      </c>
      <c r="I456" s="24" t="n">
        <f aca="false">1-(1-D456)^(H456/12)</f>
        <v>0.522781323648689</v>
      </c>
      <c r="J456" s="24" t="n">
        <f aca="false">IF(G456="Stage 1",D456,I456)</f>
        <v>0.522781323648689</v>
      </c>
      <c r="K456" s="25" t="n">
        <f aca="false">J456*'Cover &amp; Assumptions'!$D$11*E456*'Cover &amp; Assumptions'!$E$11*C456</f>
        <v>32736.2352643968</v>
      </c>
      <c r="L456" s="25" t="n">
        <f aca="false">J456*'Cover &amp; Assumptions'!$D$12*E456*'Cover &amp; Assumptions'!$E$12*C456</f>
        <v>40540.2294295936</v>
      </c>
      <c r="M456" s="25" t="n">
        <f aca="false">J456*'Cover &amp; Assumptions'!$D$13*E456*'Cover &amp; Assumptions'!$E$13*C456</f>
        <v>70539.9992074928</v>
      </c>
      <c r="N456" s="25" t="n">
        <f aca="false">K456*'Cover &amp; Assumptions'!$C$11+L456*'Cover &amp; Assumptions'!$C$12+M456*'Cover &amp; Assumptions'!$C$13</f>
        <v>46479.373041029</v>
      </c>
    </row>
    <row r="457" customFormat="false" ht="15" hidden="false" customHeight="false" outlineLevel="0" collapsed="false">
      <c r="A457" s="17" t="str">
        <f aca="false">Portfolio!A457</f>
        <v>UKSME-103883</v>
      </c>
      <c r="B457" s="17" t="str">
        <f aca="false">Portfolio!B457</f>
        <v>Wholesale</v>
      </c>
      <c r="C457" s="21" t="n">
        <f aca="false">Portfolio!D457</f>
        <v>11275</v>
      </c>
      <c r="D457" s="22" t="n">
        <f aca="false">Portfolio!G457</f>
        <v>0.0336055084045188</v>
      </c>
      <c r="E457" s="23" t="n">
        <f aca="false">Portfolio!E457</f>
        <v>0.787</v>
      </c>
      <c r="F457" s="17" t="n">
        <f aca="false">Portfolio!F457</f>
        <v>5</v>
      </c>
      <c r="G457" s="16" t="str">
        <f aca="false">IF(OR(F457&gt;='Cover &amp; Assumptions'!$C$22,Portfolio!I457=1),"Stage 3",IF(OR(F457&gt;=30,D457&gt;'Cover &amp; Assumptions'!$C$21),"Stage 2","Stage 1"))</f>
        <v>Stage 1</v>
      </c>
      <c r="H457" s="16" t="n">
        <f aca="false">IF(G457="Stage 1",12,MIN(Portfolio!H457,60))</f>
        <v>12</v>
      </c>
      <c r="I457" s="24" t="n">
        <f aca="false">1-(1-D457)^(H457/12)</f>
        <v>0.0336055084045188</v>
      </c>
      <c r="J457" s="24" t="n">
        <f aca="false">IF(G457="Stage 1",D457,I457)</f>
        <v>0.0336055084045188</v>
      </c>
      <c r="K457" s="25" t="n">
        <f aca="false">J457*'Cover &amp; Assumptions'!$D$11*E457*'Cover &amp; Assumptions'!$E$11*C457</f>
        <v>240.793236419602</v>
      </c>
      <c r="L457" s="25" t="n">
        <f aca="false">J457*'Cover &amp; Assumptions'!$D$12*E457*'Cover &amp; Assumptions'!$E$12*C457</f>
        <v>298.195958414367</v>
      </c>
      <c r="M457" s="25" t="n">
        <f aca="false">J457*'Cover &amp; Assumptions'!$D$13*E457*'Cover &amp; Assumptions'!$E$13*C457</f>
        <v>518.860967640999</v>
      </c>
      <c r="N457" s="25" t="n">
        <f aca="false">K457*'Cover &amp; Assumptions'!$C$11+L457*'Cover &amp; Assumptions'!$C$12+M457*'Cover &amp; Assumptions'!$C$13</f>
        <v>341.881666322072</v>
      </c>
    </row>
    <row r="458" customFormat="false" ht="15" hidden="false" customHeight="false" outlineLevel="0" collapsed="false">
      <c r="A458" s="17" t="str">
        <f aca="false">Portfolio!A458</f>
        <v>UKSME-100112</v>
      </c>
      <c r="B458" s="17" t="str">
        <f aca="false">Portfolio!B458</f>
        <v>Hospitality</v>
      </c>
      <c r="C458" s="21" t="n">
        <f aca="false">Portfolio!D458</f>
        <v>71697</v>
      </c>
      <c r="D458" s="22" t="n">
        <f aca="false">Portfolio!G458</f>
        <v>0.179572766287735</v>
      </c>
      <c r="E458" s="23" t="n">
        <f aca="false">Portfolio!E458</f>
        <v>0.87</v>
      </c>
      <c r="F458" s="17" t="n">
        <f aca="false">Portfolio!F458</f>
        <v>0</v>
      </c>
      <c r="G458" s="16" t="str">
        <f aca="false">IF(OR(F458&gt;='Cover &amp; Assumptions'!$C$22,Portfolio!I458=1),"Stage 3",IF(OR(F458&gt;=30,D458&gt;'Cover &amp; Assumptions'!$C$21),"Stage 2","Stage 1"))</f>
        <v>Stage 2</v>
      </c>
      <c r="H458" s="16" t="n">
        <f aca="false">IF(G458="Stage 1",12,MIN(Portfolio!H458,60))</f>
        <v>60</v>
      </c>
      <c r="I458" s="24" t="n">
        <f aca="false">1-(1-D458)^(H458/12)</f>
        <v>0.628293341581368</v>
      </c>
      <c r="J458" s="24" t="n">
        <f aca="false">IF(G458="Stage 1",D458,I458)</f>
        <v>0.628293341581368</v>
      </c>
      <c r="K458" s="25" t="n">
        <f aca="false">J458*'Cover &amp; Assumptions'!$D$11*E458*'Cover &amp; Assumptions'!$E$11*C458</f>
        <v>31646.4664359227</v>
      </c>
      <c r="L458" s="25" t="n">
        <f aca="false">J458*'Cover &amp; Assumptions'!$D$12*E458*'Cover &amp; Assumptions'!$E$12*C458</f>
        <v>39190.6705088826</v>
      </c>
      <c r="M458" s="25" t="n">
        <f aca="false">J458*'Cover &amp; Assumptions'!$D$13*E458*'Cover &amp; Assumptions'!$E$13*C458</f>
        <v>68191.7666854558</v>
      </c>
      <c r="N458" s="25" t="n">
        <f aca="false">K458*'Cover &amp; Assumptions'!$C$11+L458*'Cover &amp; Assumptions'!$C$12+M458*'Cover &amp; Assumptions'!$C$13</f>
        <v>44932.103738434</v>
      </c>
    </row>
    <row r="459" customFormat="false" ht="15" hidden="false" customHeight="false" outlineLevel="0" collapsed="false">
      <c r="A459" s="17" t="str">
        <f aca="false">Portfolio!A459</f>
        <v>UKSME-105443</v>
      </c>
      <c r="B459" s="17" t="str">
        <f aca="false">Portfolio!B459</f>
        <v>Transport</v>
      </c>
      <c r="C459" s="21" t="n">
        <f aca="false">Portfolio!D459</f>
        <v>169756</v>
      </c>
      <c r="D459" s="22" t="n">
        <f aca="false">Portfolio!G459</f>
        <v>0.129434063090928</v>
      </c>
      <c r="E459" s="23" t="n">
        <f aca="false">Portfolio!E459</f>
        <v>0.383</v>
      </c>
      <c r="F459" s="17" t="n">
        <f aca="false">Portfolio!F459</f>
        <v>5</v>
      </c>
      <c r="G459" s="16" t="str">
        <f aca="false">IF(OR(F459&gt;='Cover &amp; Assumptions'!$C$22,Portfolio!I459=1),"Stage 3",IF(OR(F459&gt;=30,D459&gt;'Cover &amp; Assumptions'!$C$21),"Stage 2","Stage 1"))</f>
        <v>Stage 1</v>
      </c>
      <c r="H459" s="16" t="n">
        <f aca="false">IF(G459="Stage 1",12,MIN(Portfolio!H459,60))</f>
        <v>12</v>
      </c>
      <c r="I459" s="24" t="n">
        <f aca="false">1-(1-D459)^(H459/12)</f>
        <v>0.129434063090928</v>
      </c>
      <c r="J459" s="24" t="n">
        <f aca="false">IF(G459="Stage 1",D459,I459)</f>
        <v>0.129434063090928</v>
      </c>
      <c r="K459" s="25" t="n">
        <f aca="false">J459*'Cover &amp; Assumptions'!$D$11*E459*'Cover &amp; Assumptions'!$E$11*C459</f>
        <v>6795.39995044748</v>
      </c>
      <c r="L459" s="25" t="n">
        <f aca="false">J459*'Cover &amp; Assumptions'!$D$12*E459*'Cover &amp; Assumptions'!$E$12*C459</f>
        <v>8415.35597578635</v>
      </c>
      <c r="M459" s="25" t="n">
        <f aca="false">J459*'Cover &amp; Assumptions'!$D$13*E459*'Cover &amp; Assumptions'!$E$13*C459</f>
        <v>14642.7193978682</v>
      </c>
      <c r="N459" s="25" t="n">
        <f aca="false">K459*'Cover &amp; Assumptions'!$C$11+L459*'Cover &amp; Assumptions'!$C$12+M459*'Cover &amp; Assumptions'!$C$13</f>
        <v>9648.20562623905</v>
      </c>
    </row>
    <row r="460" customFormat="false" ht="15" hidden="false" customHeight="false" outlineLevel="0" collapsed="false">
      <c r="A460" s="17" t="str">
        <f aca="false">Portfolio!A460</f>
        <v>UKSME-101673</v>
      </c>
      <c r="B460" s="17" t="str">
        <f aca="false">Portfolio!B460</f>
        <v>Retail</v>
      </c>
      <c r="C460" s="21" t="n">
        <f aca="false">Portfolio!D460</f>
        <v>40552</v>
      </c>
      <c r="D460" s="22" t="n">
        <f aca="false">Portfolio!G460</f>
        <v>0.147741684884178</v>
      </c>
      <c r="E460" s="23" t="n">
        <f aca="false">Portfolio!E460</f>
        <v>0.213</v>
      </c>
      <c r="F460" s="17" t="n">
        <f aca="false">Portfolio!F460</f>
        <v>0</v>
      </c>
      <c r="G460" s="16" t="str">
        <f aca="false">IF(OR(F460&gt;='Cover &amp; Assumptions'!$C$22,Portfolio!I460=1),"Stage 3",IF(OR(F460&gt;=30,D460&gt;'Cover &amp; Assumptions'!$C$21),"Stage 2","Stage 1"))</f>
        <v>Stage 1</v>
      </c>
      <c r="H460" s="16" t="n">
        <f aca="false">IF(G460="Stage 1",12,MIN(Portfolio!H460,60))</f>
        <v>12</v>
      </c>
      <c r="I460" s="24" t="n">
        <f aca="false">1-(1-D460)^(H460/12)</f>
        <v>0.147741684884178</v>
      </c>
      <c r="J460" s="24" t="n">
        <f aca="false">IF(G460="Stage 1",D460,I460)</f>
        <v>0.147741684884178</v>
      </c>
      <c r="K460" s="25" t="n">
        <f aca="false">J460*'Cover &amp; Assumptions'!$D$11*E460*'Cover &amp; Assumptions'!$E$11*C460</f>
        <v>1030.47500048077</v>
      </c>
      <c r="L460" s="25" t="n">
        <f aca="false">J460*'Cover &amp; Assumptions'!$D$12*E460*'Cover &amp; Assumptions'!$E$12*C460</f>
        <v>1276.13003155514</v>
      </c>
      <c r="M460" s="25" t="n">
        <f aca="false">J460*'Cover &amp; Assumptions'!$D$13*E460*'Cover &amp; Assumptions'!$E$13*C460</f>
        <v>2220.46625490594</v>
      </c>
      <c r="N460" s="25" t="n">
        <f aca="false">K460*'Cover &amp; Assumptions'!$C$11+L460*'Cover &amp; Assumptions'!$C$12+M460*'Cover &amp; Assumptions'!$C$13</f>
        <v>1463.08308117796</v>
      </c>
    </row>
    <row r="461" customFormat="false" ht="15" hidden="false" customHeight="false" outlineLevel="0" collapsed="false">
      <c r="A461" s="17" t="str">
        <f aca="false">Portfolio!A461</f>
        <v>UKSME-108581</v>
      </c>
      <c r="B461" s="17" t="str">
        <f aca="false">Portfolio!B461</f>
        <v>Professional Services</v>
      </c>
      <c r="C461" s="21" t="n">
        <f aca="false">Portfolio!D461</f>
        <v>87417</v>
      </c>
      <c r="D461" s="22" t="n">
        <f aca="false">Portfolio!G461</f>
        <v>0.191795855205458</v>
      </c>
      <c r="E461" s="23" t="n">
        <f aca="false">Portfolio!E461</f>
        <v>0.558</v>
      </c>
      <c r="F461" s="17" t="n">
        <f aca="false">Portfolio!F461</f>
        <v>0</v>
      </c>
      <c r="G461" s="16" t="str">
        <f aca="false">IF(OR(F461&gt;='Cover &amp; Assumptions'!$C$22,Portfolio!I461=1),"Stage 3",IF(OR(F461&gt;=30,D461&gt;'Cover &amp; Assumptions'!$C$21),"Stage 2","Stage 1"))</f>
        <v>Stage 3</v>
      </c>
      <c r="H461" s="16" t="n">
        <f aca="false">IF(G461="Stage 1",12,MIN(Portfolio!H461,60))</f>
        <v>48</v>
      </c>
      <c r="I461" s="24" t="n">
        <f aca="false">1-(1-D461)^(H461/12)</f>
        <v>0.573337677187428</v>
      </c>
      <c r="J461" s="24" t="n">
        <f aca="false">IF(G461="Stage 1",D461,I461)</f>
        <v>0.573337677187428</v>
      </c>
      <c r="K461" s="25" t="n">
        <f aca="false">J461*'Cover &amp; Assumptions'!$D$11*E461*'Cover &amp; Assumptions'!$E$11*C461</f>
        <v>22583.0767609521</v>
      </c>
      <c r="L461" s="25" t="n">
        <f aca="false">J461*'Cover &amp; Assumptions'!$D$12*E461*'Cover &amp; Assumptions'!$E$12*C461</f>
        <v>27966.6585274949</v>
      </c>
      <c r="M461" s="25" t="n">
        <f aca="false">J461*'Cover &amp; Assumptions'!$D$13*E461*'Cover &amp; Assumptions'!$E$13*C461</f>
        <v>48661.9858378412</v>
      </c>
      <c r="N461" s="25" t="n">
        <f aca="false">K461*'Cover &amp; Assumptions'!$C$11+L461*'Cover &amp; Assumptions'!$C$12+M461*'Cover &amp; Assumptions'!$C$13</f>
        <v>32063.7740017729</v>
      </c>
    </row>
    <row r="462" customFormat="false" ht="15" hidden="false" customHeight="false" outlineLevel="0" collapsed="false">
      <c r="A462" s="17" t="str">
        <f aca="false">Portfolio!A462</f>
        <v>UKSME-109342</v>
      </c>
      <c r="B462" s="17" t="str">
        <f aca="false">Portfolio!B462</f>
        <v>Transport</v>
      </c>
      <c r="C462" s="21" t="n">
        <f aca="false">Portfolio!D462</f>
        <v>11967</v>
      </c>
      <c r="D462" s="22" t="n">
        <f aca="false">Portfolio!G462</f>
        <v>0.191061359383653</v>
      </c>
      <c r="E462" s="23" t="n">
        <f aca="false">Portfolio!E462</f>
        <v>0.211</v>
      </c>
      <c r="F462" s="17" t="n">
        <f aca="false">Portfolio!F462</f>
        <v>0</v>
      </c>
      <c r="G462" s="16" t="str">
        <f aca="false">IF(OR(F462&gt;='Cover &amp; Assumptions'!$C$22,Portfolio!I462=1),"Stage 3",IF(OR(F462&gt;=30,D462&gt;'Cover &amp; Assumptions'!$C$21),"Stage 2","Stage 1"))</f>
        <v>Stage 2</v>
      </c>
      <c r="H462" s="16" t="n">
        <f aca="false">IF(G462="Stage 1",12,MIN(Portfolio!H462,60))</f>
        <v>48</v>
      </c>
      <c r="I462" s="24" t="n">
        <f aca="false">1-(1-D462)^(H462/12)</f>
        <v>0.571784558925425</v>
      </c>
      <c r="J462" s="24" t="n">
        <f aca="false">IF(G462="Stage 1",D462,I462)</f>
        <v>0.571784558925425</v>
      </c>
      <c r="K462" s="25" t="n">
        <f aca="false">J462*'Cover &amp; Assumptions'!$D$11*E462*'Cover &amp; Assumptions'!$E$11*C462</f>
        <v>1165.85006260717</v>
      </c>
      <c r="L462" s="25" t="n">
        <f aca="false">J462*'Cover &amp; Assumptions'!$D$12*E462*'Cover &amp; Assumptions'!$E$12*C462</f>
        <v>1443.77716731538</v>
      </c>
      <c r="M462" s="25" t="n">
        <f aca="false">J462*'Cover &amp; Assumptions'!$D$13*E462*'Cover &amp; Assumptions'!$E$13*C462</f>
        <v>2512.17227112876</v>
      </c>
      <c r="N462" s="25" t="n">
        <f aca="false">K462*'Cover &amp; Assumptions'!$C$11+L462*'Cover &amp; Assumptions'!$C$12+M462*'Cover &amp; Assumptions'!$C$13</f>
        <v>1655.29052232708</v>
      </c>
    </row>
    <row r="463" customFormat="false" ht="15" hidden="false" customHeight="false" outlineLevel="0" collapsed="false">
      <c r="A463" s="17" t="str">
        <f aca="false">Portfolio!A463</f>
        <v>UKSME-108098</v>
      </c>
      <c r="B463" s="17" t="str">
        <f aca="false">Portfolio!B463</f>
        <v>Healthcare</v>
      </c>
      <c r="C463" s="21" t="n">
        <f aca="false">Portfolio!D463</f>
        <v>34432</v>
      </c>
      <c r="D463" s="22" t="n">
        <f aca="false">Portfolio!G463</f>
        <v>0.0826473421891368</v>
      </c>
      <c r="E463" s="23" t="n">
        <f aca="false">Portfolio!E463</f>
        <v>0.628</v>
      </c>
      <c r="F463" s="17" t="n">
        <f aca="false">Portfolio!F463</f>
        <v>0</v>
      </c>
      <c r="G463" s="16" t="str">
        <f aca="false">IF(OR(F463&gt;='Cover &amp; Assumptions'!$C$22,Portfolio!I463=1),"Stage 3",IF(OR(F463&gt;=30,D463&gt;'Cover &amp; Assumptions'!$C$21),"Stage 2","Stage 1"))</f>
        <v>Stage 1</v>
      </c>
      <c r="H463" s="16" t="n">
        <f aca="false">IF(G463="Stage 1",12,MIN(Portfolio!H463,60))</f>
        <v>12</v>
      </c>
      <c r="I463" s="24" t="n">
        <f aca="false">1-(1-D463)^(H463/12)</f>
        <v>0.0826473421891368</v>
      </c>
      <c r="J463" s="24" t="n">
        <f aca="false">IF(G463="Stage 1",D463,I463)</f>
        <v>0.0826473421891368</v>
      </c>
      <c r="K463" s="25" t="n">
        <f aca="false">J463*'Cover &amp; Assumptions'!$D$11*E463*'Cover &amp; Assumptions'!$E$11*C463</f>
        <v>1443.08966459346</v>
      </c>
      <c r="L463" s="25" t="n">
        <f aca="false">J463*'Cover &amp; Assumptions'!$D$12*E463*'Cover &amp; Assumptions'!$E$12*C463</f>
        <v>1787.10794376899</v>
      </c>
      <c r="M463" s="25" t="n">
        <f aca="false">J463*'Cover &amp; Assumptions'!$D$13*E463*'Cover &amp; Assumptions'!$E$13*C463</f>
        <v>3109.56782215805</v>
      </c>
      <c r="N463" s="25" t="n">
        <f aca="false">K463*'Cover &amp; Assumptions'!$C$11+L463*'Cover &amp; Assumptions'!$C$12+M463*'Cover &amp; Assumptions'!$C$13</f>
        <v>2048.91925753115</v>
      </c>
    </row>
    <row r="464" customFormat="false" ht="15" hidden="false" customHeight="false" outlineLevel="0" collapsed="false">
      <c r="A464" s="17" t="str">
        <f aca="false">Portfolio!A464</f>
        <v>UKSME-104159</v>
      </c>
      <c r="B464" s="17" t="str">
        <f aca="false">Portfolio!B464</f>
        <v>Transport</v>
      </c>
      <c r="C464" s="21" t="n">
        <f aca="false">Portfolio!D464</f>
        <v>157182</v>
      </c>
      <c r="D464" s="22" t="n">
        <f aca="false">Portfolio!G464</f>
        <v>0.0310316193306908</v>
      </c>
      <c r="E464" s="23" t="n">
        <f aca="false">Portfolio!E464</f>
        <v>0.152</v>
      </c>
      <c r="F464" s="17" t="n">
        <f aca="false">Portfolio!F464</f>
        <v>0</v>
      </c>
      <c r="G464" s="16" t="str">
        <f aca="false">IF(OR(F464&gt;='Cover &amp; Assumptions'!$C$22,Portfolio!I464=1),"Stage 3",IF(OR(F464&gt;=30,D464&gt;'Cover &amp; Assumptions'!$C$21),"Stage 2","Stage 1"))</f>
        <v>Stage 1</v>
      </c>
      <c r="H464" s="16" t="n">
        <f aca="false">IF(G464="Stage 1",12,MIN(Portfolio!H464,60))</f>
        <v>12</v>
      </c>
      <c r="I464" s="24" t="n">
        <f aca="false">1-(1-D464)^(H464/12)</f>
        <v>0.0310316193306908</v>
      </c>
      <c r="J464" s="24" t="n">
        <f aca="false">IF(G464="Stage 1",D464,I464)</f>
        <v>0.0310316193306908</v>
      </c>
      <c r="K464" s="25" t="n">
        <f aca="false">J464*'Cover &amp; Assumptions'!$D$11*E464*'Cover &amp; Assumptions'!$E$11*C464</f>
        <v>598.678095608001</v>
      </c>
      <c r="L464" s="25" t="n">
        <f aca="false">J464*'Cover &amp; Assumptions'!$D$12*E464*'Cover &amp; Assumptions'!$E$12*C464</f>
        <v>741.39702242477</v>
      </c>
      <c r="M464" s="25" t="n">
        <f aca="false">J464*'Cover &amp; Assumptions'!$D$13*E464*'Cover &amp; Assumptions'!$E$13*C464</f>
        <v>1290.0308190191</v>
      </c>
      <c r="N464" s="25" t="n">
        <f aca="false">K464*'Cover &amp; Assumptions'!$C$11+L464*'Cover &amp; Assumptions'!$C$12+M464*'Cover &amp; Assumptions'!$C$13</f>
        <v>850.011686209998</v>
      </c>
    </row>
    <row r="465" customFormat="false" ht="15" hidden="false" customHeight="false" outlineLevel="0" collapsed="false">
      <c r="A465" s="17" t="str">
        <f aca="false">Portfolio!A465</f>
        <v>UKSME-101329</v>
      </c>
      <c r="B465" s="17" t="str">
        <f aca="false">Portfolio!B465</f>
        <v>Manufacturing</v>
      </c>
      <c r="C465" s="21" t="n">
        <f aca="false">Portfolio!D465</f>
        <v>90887</v>
      </c>
      <c r="D465" s="22" t="n">
        <f aca="false">Portfolio!G465</f>
        <v>0.001</v>
      </c>
      <c r="E465" s="23" t="n">
        <f aca="false">Portfolio!E465</f>
        <v>0.745</v>
      </c>
      <c r="F465" s="17" t="n">
        <f aca="false">Portfolio!F465</f>
        <v>0</v>
      </c>
      <c r="G465" s="16" t="str">
        <f aca="false">IF(OR(F465&gt;='Cover &amp; Assumptions'!$C$22,Portfolio!I465=1),"Stage 3",IF(OR(F465&gt;=30,D465&gt;'Cover &amp; Assumptions'!$C$21),"Stage 2","Stage 1"))</f>
        <v>Stage 1</v>
      </c>
      <c r="H465" s="16" t="n">
        <f aca="false">IF(G465="Stage 1",12,MIN(Portfolio!H465,60))</f>
        <v>12</v>
      </c>
      <c r="I465" s="24" t="n">
        <f aca="false">1-(1-D465)^(H465/12)</f>
        <v>0.001</v>
      </c>
      <c r="J465" s="24" t="n">
        <f aca="false">IF(G465="Stage 1",D465,I465)</f>
        <v>0.001</v>
      </c>
      <c r="K465" s="25" t="n">
        <f aca="false">J465*'Cover &amp; Assumptions'!$D$11*E465*'Cover &amp; Assumptions'!$E$11*C465</f>
        <v>54.6764831125</v>
      </c>
      <c r="L465" s="25" t="n">
        <f aca="false">J465*'Cover &amp; Assumptions'!$D$12*E465*'Cover &amp; Assumptions'!$E$12*C465</f>
        <v>67.710815</v>
      </c>
      <c r="M465" s="25" t="n">
        <f aca="false">J465*'Cover &amp; Assumptions'!$D$13*E465*'Cover &amp; Assumptions'!$E$13*C465</f>
        <v>117.8168181</v>
      </c>
      <c r="N465" s="25" t="n">
        <f aca="false">K465*'Cover &amp; Assumptions'!$C$11+L465*'Cover &amp; Assumptions'!$C$12+M465*'Cover &amp; Assumptions'!$C$13</f>
        <v>77.6304493975</v>
      </c>
    </row>
    <row r="466" customFormat="false" ht="15" hidden="false" customHeight="false" outlineLevel="0" collapsed="false">
      <c r="A466" s="17" t="str">
        <f aca="false">Portfolio!A466</f>
        <v>UKSME-109520</v>
      </c>
      <c r="B466" s="17" t="str">
        <f aca="false">Portfolio!B466</f>
        <v>Hospitality</v>
      </c>
      <c r="C466" s="21" t="n">
        <f aca="false">Portfolio!D466</f>
        <v>51363</v>
      </c>
      <c r="D466" s="22" t="n">
        <f aca="false">Portfolio!G466</f>
        <v>0.219695057093864</v>
      </c>
      <c r="E466" s="23" t="n">
        <f aca="false">Portfolio!E466</f>
        <v>0.298</v>
      </c>
      <c r="F466" s="17" t="n">
        <f aca="false">Portfolio!F466</f>
        <v>0</v>
      </c>
      <c r="G466" s="16" t="str">
        <f aca="false">IF(OR(F466&gt;='Cover &amp; Assumptions'!$C$22,Portfolio!I466=1),"Stage 3",IF(OR(F466&gt;=30,D466&gt;'Cover &amp; Assumptions'!$C$21),"Stage 2","Stage 1"))</f>
        <v>Stage 2</v>
      </c>
      <c r="H466" s="16" t="n">
        <f aca="false">IF(G466="Stage 1",12,MIN(Portfolio!H466,60))</f>
        <v>60</v>
      </c>
      <c r="I466" s="24" t="n">
        <f aca="false">1-(1-D466)^(H466/12)</f>
        <v>0.710717747803332</v>
      </c>
      <c r="J466" s="24" t="n">
        <f aca="false">IF(G466="Stage 1",D466,I466)</f>
        <v>0.710717747803332</v>
      </c>
      <c r="K466" s="25" t="n">
        <f aca="false">J466*'Cover &amp; Assumptions'!$D$11*E466*'Cover &amp; Assumptions'!$E$11*C466</f>
        <v>8784.28338155848</v>
      </c>
      <c r="L466" s="25" t="n">
        <f aca="false">J466*'Cover &amp; Assumptions'!$D$12*E466*'Cover &amp; Assumptions'!$E$12*C466</f>
        <v>10878.3695127659</v>
      </c>
      <c r="M466" s="25" t="n">
        <f aca="false">J466*'Cover &amp; Assumptions'!$D$13*E466*'Cover &amp; Assumptions'!$E$13*C466</f>
        <v>18928.3629522127</v>
      </c>
      <c r="N466" s="25" t="n">
        <f aca="false">K466*'Cover &amp; Assumptions'!$C$11+L466*'Cover &amp; Assumptions'!$C$12+M466*'Cover &amp; Assumptions'!$C$13</f>
        <v>12472.0506463861</v>
      </c>
    </row>
    <row r="467" customFormat="false" ht="15" hidden="false" customHeight="false" outlineLevel="0" collapsed="false">
      <c r="A467" s="17" t="str">
        <f aca="false">Portfolio!A467</f>
        <v>UKSME-103331</v>
      </c>
      <c r="B467" s="17" t="str">
        <f aca="false">Portfolio!B467</f>
        <v>Hospitality</v>
      </c>
      <c r="C467" s="21" t="n">
        <f aca="false">Portfolio!D467</f>
        <v>69631</v>
      </c>
      <c r="D467" s="22" t="n">
        <f aca="false">Portfolio!G467</f>
        <v>0.175815996344188</v>
      </c>
      <c r="E467" s="23" t="n">
        <f aca="false">Portfolio!E467</f>
        <v>0.448</v>
      </c>
      <c r="F467" s="17" t="n">
        <f aca="false">Portfolio!F467</f>
        <v>0</v>
      </c>
      <c r="G467" s="16" t="str">
        <f aca="false">IF(OR(F467&gt;='Cover &amp; Assumptions'!$C$22,Portfolio!I467=1),"Stage 3",IF(OR(F467&gt;=30,D467&gt;'Cover &amp; Assumptions'!$C$21),"Stage 2","Stage 1"))</f>
        <v>Stage 2</v>
      </c>
      <c r="H467" s="16" t="n">
        <f aca="false">IF(G467="Stage 1",12,MIN(Portfolio!H467,60))</f>
        <v>36</v>
      </c>
      <c r="I467" s="24" t="n">
        <f aca="false">1-(1-D467)^(H467/12)</f>
        <v>0.440148890099787</v>
      </c>
      <c r="J467" s="24" t="n">
        <f aca="false">IF(G467="Stage 1",D467,I467)</f>
        <v>0.440148890099787</v>
      </c>
      <c r="K467" s="25" t="n">
        <f aca="false">J467*'Cover &amp; Assumptions'!$D$11*E467*'Cover &amp; Assumptions'!$E$11*C467</f>
        <v>11087.2231449189</v>
      </c>
      <c r="L467" s="25" t="n">
        <f aca="false">J467*'Cover &amp; Assumptions'!$D$12*E467*'Cover &amp; Assumptions'!$E$12*C467</f>
        <v>13730.3073002091</v>
      </c>
      <c r="M467" s="25" t="n">
        <f aca="false">J467*'Cover &amp; Assumptions'!$D$13*E467*'Cover &amp; Assumptions'!$E$13*C467</f>
        <v>23890.7347023639</v>
      </c>
      <c r="N467" s="25" t="n">
        <f aca="false">K467*'Cover &amp; Assumptions'!$C$11+L467*'Cover &amp; Assumptions'!$C$12+M467*'Cover &amp; Assumptions'!$C$13</f>
        <v>15741.7973196898</v>
      </c>
    </row>
    <row r="468" customFormat="false" ht="15" hidden="false" customHeight="false" outlineLevel="0" collapsed="false">
      <c r="A468" s="17" t="str">
        <f aca="false">Portfolio!A468</f>
        <v>UKSME-104764</v>
      </c>
      <c r="B468" s="17" t="str">
        <f aca="false">Portfolio!B468</f>
        <v>Technology</v>
      </c>
      <c r="C468" s="21" t="n">
        <f aca="false">Portfolio!D468</f>
        <v>56883</v>
      </c>
      <c r="D468" s="22" t="n">
        <f aca="false">Portfolio!G468</f>
        <v>0.213889790747596</v>
      </c>
      <c r="E468" s="23" t="n">
        <f aca="false">Portfolio!E468</f>
        <v>0.469</v>
      </c>
      <c r="F468" s="17" t="n">
        <f aca="false">Portfolio!F468</f>
        <v>0</v>
      </c>
      <c r="G468" s="16" t="str">
        <f aca="false">IF(OR(F468&gt;='Cover &amp; Assumptions'!$C$22,Portfolio!I468=1),"Stage 3",IF(OR(F468&gt;=30,D468&gt;'Cover &amp; Assumptions'!$C$21),"Stage 2","Stage 1"))</f>
        <v>Stage 2</v>
      </c>
      <c r="H468" s="16" t="n">
        <f aca="false">IF(G468="Stage 1",12,MIN(Portfolio!H468,60))</f>
        <v>60</v>
      </c>
      <c r="I468" s="24" t="n">
        <f aca="false">1-(1-D468)^(H468/12)</f>
        <v>0.699795510613192</v>
      </c>
      <c r="J468" s="24" t="n">
        <f aca="false">IF(G468="Stage 1",D468,I468)</f>
        <v>0.699795510613192</v>
      </c>
      <c r="K468" s="25" t="n">
        <f aca="false">J468*'Cover &amp; Assumptions'!$D$11*E468*'Cover &amp; Assumptions'!$E$11*C468</f>
        <v>15075.4060562311</v>
      </c>
      <c r="L468" s="25" t="n">
        <f aca="false">J468*'Cover &amp; Assumptions'!$D$12*E468*'Cover &amp; Assumptions'!$E$12*C468</f>
        <v>18669.2335061686</v>
      </c>
      <c r="M468" s="25" t="n">
        <f aca="false">J468*'Cover &amp; Assumptions'!$D$13*E468*'Cover &amp; Assumptions'!$E$13*C468</f>
        <v>32484.4663007333</v>
      </c>
      <c r="N468" s="25" t="n">
        <f aca="false">K468*'Cover &amp; Assumptions'!$C$11+L468*'Cover &amp; Assumptions'!$C$12+M468*'Cover &amp; Assumptions'!$C$13</f>
        <v>21404.2762148223</v>
      </c>
    </row>
    <row r="469" customFormat="false" ht="15" hidden="false" customHeight="false" outlineLevel="0" collapsed="false">
      <c r="A469" s="17" t="str">
        <f aca="false">Portfolio!A469</f>
        <v>UKSME-103787</v>
      </c>
      <c r="B469" s="17" t="str">
        <f aca="false">Portfolio!B469</f>
        <v>Transport</v>
      </c>
      <c r="C469" s="21" t="n">
        <f aca="false">Portfolio!D469</f>
        <v>121846</v>
      </c>
      <c r="D469" s="22" t="n">
        <f aca="false">Portfolio!G469</f>
        <v>0.0507198903010554</v>
      </c>
      <c r="E469" s="23" t="n">
        <f aca="false">Portfolio!E469</f>
        <v>0.251</v>
      </c>
      <c r="F469" s="17" t="n">
        <f aca="false">Portfolio!F469</f>
        <v>0</v>
      </c>
      <c r="G469" s="16" t="str">
        <f aca="false">IF(OR(F469&gt;='Cover &amp; Assumptions'!$C$22,Portfolio!I469=1),"Stage 3",IF(OR(F469&gt;=30,D469&gt;'Cover &amp; Assumptions'!$C$21),"Stage 2","Stage 1"))</f>
        <v>Stage 1</v>
      </c>
      <c r="H469" s="16" t="n">
        <f aca="false">IF(G469="Stage 1",12,MIN(Portfolio!H469,60))</f>
        <v>12</v>
      </c>
      <c r="I469" s="24" t="n">
        <f aca="false">1-(1-D469)^(H469/12)</f>
        <v>0.0507198903010554</v>
      </c>
      <c r="J469" s="24" t="n">
        <f aca="false">IF(G469="Stage 1",D469,I469)</f>
        <v>0.0507198903010554</v>
      </c>
      <c r="K469" s="25" t="n">
        <f aca="false">J469*'Cover &amp; Assumptions'!$D$11*E469*'Cover &amp; Assumptions'!$E$11*C469</f>
        <v>1252.58104298357</v>
      </c>
      <c r="L469" s="25" t="n">
        <f aca="false">J469*'Cover &amp; Assumptions'!$D$12*E469*'Cover &amp; Assumptions'!$E$12*C469</f>
        <v>1551.18395415922</v>
      </c>
      <c r="M469" s="25" t="n">
        <f aca="false">J469*'Cover &amp; Assumptions'!$D$13*E469*'Cover &amp; Assumptions'!$E$13*C469</f>
        <v>2699.06008023705</v>
      </c>
      <c r="N469" s="25" t="n">
        <f aca="false">K469*'Cover &amp; Assumptions'!$C$11+L469*'Cover &amp; Assumptions'!$C$12+M469*'Cover &amp; Assumptions'!$C$13</f>
        <v>1778.43240344355</v>
      </c>
    </row>
    <row r="470" customFormat="false" ht="15" hidden="false" customHeight="false" outlineLevel="0" collapsed="false">
      <c r="A470" s="17" t="str">
        <f aca="false">Portfolio!A470</f>
        <v>UKSME-108850</v>
      </c>
      <c r="B470" s="17" t="str">
        <f aca="false">Portfolio!B470</f>
        <v>Construction</v>
      </c>
      <c r="C470" s="21" t="n">
        <f aca="false">Portfolio!D470</f>
        <v>50211</v>
      </c>
      <c r="D470" s="22" t="n">
        <f aca="false">Portfolio!G470</f>
        <v>0.169179653017437</v>
      </c>
      <c r="E470" s="23" t="n">
        <f aca="false">Portfolio!E470</f>
        <v>0.95</v>
      </c>
      <c r="F470" s="17" t="n">
        <f aca="false">Portfolio!F470</f>
        <v>0</v>
      </c>
      <c r="G470" s="16" t="str">
        <f aca="false">IF(OR(F470&gt;='Cover &amp; Assumptions'!$C$22,Portfolio!I470=1),"Stage 3",IF(OR(F470&gt;=30,D470&gt;'Cover &amp; Assumptions'!$C$21),"Stage 2","Stage 1"))</f>
        <v>Stage 2</v>
      </c>
      <c r="H470" s="16" t="n">
        <f aca="false">IF(G470="Stage 1",12,MIN(Portfolio!H470,60))</f>
        <v>36</v>
      </c>
      <c r="I470" s="24" t="n">
        <f aca="false">1-(1-D470)^(H470/12)</f>
        <v>0.426515912645831</v>
      </c>
      <c r="J470" s="24" t="n">
        <f aca="false">IF(G470="Stage 1",D470,I470)</f>
        <v>0.426515912645831</v>
      </c>
      <c r="K470" s="25" t="n">
        <f aca="false">J470*'Cover &amp; Assumptions'!$D$11*E470*'Cover &amp; Assumptions'!$E$11*C470</f>
        <v>16428.5882795337</v>
      </c>
      <c r="L470" s="25" t="n">
        <f aca="false">J470*'Cover &amp; Assumptions'!$D$12*E470*'Cover &amp; Assumptions'!$E$12*C470</f>
        <v>20345.0009653668</v>
      </c>
      <c r="M470" s="25" t="n">
        <f aca="false">J470*'Cover &amp; Assumptions'!$D$13*E470*'Cover &amp; Assumptions'!$E$13*C470</f>
        <v>35400.3016797383</v>
      </c>
      <c r="N470" s="25" t="n">
        <f aca="false">K470*'Cover &amp; Assumptions'!$C$11+L470*'Cover &amp; Assumptions'!$C$12+M470*'Cover &amp; Assumptions'!$C$13</f>
        <v>23325.5436067931</v>
      </c>
    </row>
    <row r="471" customFormat="false" ht="15" hidden="false" customHeight="false" outlineLevel="0" collapsed="false">
      <c r="A471" s="17" t="str">
        <f aca="false">Portfolio!A471</f>
        <v>UKSME-106757</v>
      </c>
      <c r="B471" s="17" t="str">
        <f aca="false">Portfolio!B471</f>
        <v>Professional Services</v>
      </c>
      <c r="C471" s="21" t="n">
        <f aca="false">Portfolio!D471</f>
        <v>58701</v>
      </c>
      <c r="D471" s="22" t="n">
        <f aca="false">Portfolio!G471</f>
        <v>0.0742266051531083</v>
      </c>
      <c r="E471" s="23" t="n">
        <f aca="false">Portfolio!E471</f>
        <v>0.661</v>
      </c>
      <c r="F471" s="17" t="n">
        <f aca="false">Portfolio!F471</f>
        <v>0</v>
      </c>
      <c r="G471" s="16" t="str">
        <f aca="false">IF(OR(F471&gt;='Cover &amp; Assumptions'!$C$22,Portfolio!I471=1),"Stage 3",IF(OR(F471&gt;=30,D471&gt;'Cover &amp; Assumptions'!$C$21),"Stage 2","Stage 1"))</f>
        <v>Stage 1</v>
      </c>
      <c r="H471" s="16" t="n">
        <f aca="false">IF(G471="Stage 1",12,MIN(Portfolio!H471,60))</f>
        <v>12</v>
      </c>
      <c r="I471" s="24" t="n">
        <f aca="false">1-(1-D471)^(H471/12)</f>
        <v>0.0742266051531083</v>
      </c>
      <c r="J471" s="24" t="n">
        <f aca="false">IF(G471="Stage 1",D471,I471)</f>
        <v>0.0742266051531083</v>
      </c>
      <c r="K471" s="25" t="n">
        <f aca="false">J471*'Cover &amp; Assumptions'!$D$11*E471*'Cover &amp; Assumptions'!$E$11*C471</f>
        <v>2325.6753416478</v>
      </c>
      <c r="L471" s="25" t="n">
        <f aca="false">J471*'Cover &amp; Assumptions'!$D$12*E471*'Cover &amp; Assumptions'!$E$12*C471</f>
        <v>2880.09330235022</v>
      </c>
      <c r="M471" s="25" t="n">
        <f aca="false">J471*'Cover &amp; Assumptions'!$D$13*E471*'Cover &amp; Assumptions'!$E$13*C471</f>
        <v>5011.36234608938</v>
      </c>
      <c r="N471" s="25" t="n">
        <f aca="false">K471*'Cover &amp; Assumptions'!$C$11+L471*'Cover &amp; Assumptions'!$C$12+M471*'Cover &amp; Assumptions'!$C$13</f>
        <v>3302.02697114452</v>
      </c>
    </row>
    <row r="472" customFormat="false" ht="15" hidden="false" customHeight="false" outlineLevel="0" collapsed="false">
      <c r="A472" s="17" t="str">
        <f aca="false">Portfolio!A472</f>
        <v>UKSME-100796</v>
      </c>
      <c r="B472" s="17" t="str">
        <f aca="false">Portfolio!B472</f>
        <v>Wholesale</v>
      </c>
      <c r="C472" s="21" t="n">
        <f aca="false">Portfolio!D472</f>
        <v>53798</v>
      </c>
      <c r="D472" s="22" t="n">
        <f aca="false">Portfolio!G472</f>
        <v>0.0982129411038088</v>
      </c>
      <c r="E472" s="23" t="n">
        <f aca="false">Portfolio!E472</f>
        <v>0.219</v>
      </c>
      <c r="F472" s="17" t="n">
        <f aca="false">Portfolio!F472</f>
        <v>0</v>
      </c>
      <c r="G472" s="16" t="str">
        <f aca="false">IF(OR(F472&gt;='Cover &amp; Assumptions'!$C$22,Portfolio!I472=1),"Stage 3",IF(OR(F472&gt;=30,D472&gt;'Cover &amp; Assumptions'!$C$21),"Stage 2","Stage 1"))</f>
        <v>Stage 1</v>
      </c>
      <c r="H472" s="16" t="n">
        <f aca="false">IF(G472="Stage 1",12,MIN(Portfolio!H472,60))</f>
        <v>12</v>
      </c>
      <c r="I472" s="24" t="n">
        <f aca="false">1-(1-D472)^(H472/12)</f>
        <v>0.0982129411038089</v>
      </c>
      <c r="J472" s="24" t="n">
        <f aca="false">IF(G472="Stage 1",D472,I472)</f>
        <v>0.0982129411038088</v>
      </c>
      <c r="K472" s="25" t="n">
        <f aca="false">J472*'Cover &amp; Assumptions'!$D$11*E472*'Cover &amp; Assumptions'!$E$11*C472</f>
        <v>934.375609154612</v>
      </c>
      <c r="L472" s="25" t="n">
        <f aca="false">J472*'Cover &amp; Assumptions'!$D$12*E472*'Cover &amp; Assumptions'!$E$12*C472</f>
        <v>1157.12149740509</v>
      </c>
      <c r="M472" s="25" t="n">
        <f aca="false">J472*'Cover &amp; Assumptions'!$D$13*E472*'Cover &amp; Assumptions'!$E$13*C472</f>
        <v>2013.39140548486</v>
      </c>
      <c r="N472" s="25" t="n">
        <f aca="false">K472*'Cover &amp; Assumptions'!$C$11+L472*'Cover &amp; Assumptions'!$C$12+M472*'Cover &amp; Assumptions'!$C$13</f>
        <v>1326.63979677494</v>
      </c>
    </row>
    <row r="473" customFormat="false" ht="15" hidden="false" customHeight="false" outlineLevel="0" collapsed="false">
      <c r="A473" s="17" t="str">
        <f aca="false">Portfolio!A473</f>
        <v>UKSME-109905</v>
      </c>
      <c r="B473" s="17" t="str">
        <f aca="false">Portfolio!B473</f>
        <v>Construction</v>
      </c>
      <c r="C473" s="21" t="n">
        <f aca="false">Portfolio!D473</f>
        <v>35442</v>
      </c>
      <c r="D473" s="22" t="n">
        <f aca="false">Portfolio!G473</f>
        <v>0.13930511193153</v>
      </c>
      <c r="E473" s="23" t="n">
        <f aca="false">Portfolio!E473</f>
        <v>0.619</v>
      </c>
      <c r="F473" s="17" t="n">
        <f aca="false">Portfolio!F473</f>
        <v>0</v>
      </c>
      <c r="G473" s="16" t="str">
        <f aca="false">IF(OR(F473&gt;='Cover &amp; Assumptions'!$C$22,Portfolio!I473=1),"Stage 3",IF(OR(F473&gt;=30,D473&gt;'Cover &amp; Assumptions'!$C$21),"Stage 2","Stage 1"))</f>
        <v>Stage 1</v>
      </c>
      <c r="H473" s="16" t="n">
        <f aca="false">IF(G473="Stage 1",12,MIN(Portfolio!H473,60))</f>
        <v>12</v>
      </c>
      <c r="I473" s="24" t="n">
        <f aca="false">1-(1-D473)^(H473/12)</f>
        <v>0.13930511193153</v>
      </c>
      <c r="J473" s="24" t="n">
        <f aca="false">IF(G473="Stage 1",D473,I473)</f>
        <v>0.13930511193153</v>
      </c>
      <c r="K473" s="25" t="n">
        <f aca="false">J473*'Cover &amp; Assumptions'!$D$11*E473*'Cover &amp; Assumptions'!$E$11*C473</f>
        <v>2467.84827138376</v>
      </c>
      <c r="L473" s="25" t="n">
        <f aca="false">J473*'Cover &amp; Assumptions'!$D$12*E473*'Cover &amp; Assumptions'!$E$12*C473</f>
        <v>3056.15885001084</v>
      </c>
      <c r="M473" s="25" t="n">
        <f aca="false">J473*'Cover &amp; Assumptions'!$D$13*E473*'Cover &amp; Assumptions'!$E$13*C473</f>
        <v>5317.71639901887</v>
      </c>
      <c r="N473" s="25" t="n">
        <f aca="false">K473*'Cover &amp; Assumptions'!$C$11+L473*'Cover &amp; Assumptions'!$C$12+M473*'Cover &amp; Assumptions'!$C$13</f>
        <v>3503.88612153743</v>
      </c>
    </row>
    <row r="474" customFormat="false" ht="15" hidden="false" customHeight="false" outlineLevel="0" collapsed="false">
      <c r="A474" s="17" t="str">
        <f aca="false">Portfolio!A474</f>
        <v>UKSME-103362</v>
      </c>
      <c r="B474" s="17" t="str">
        <f aca="false">Portfolio!B474</f>
        <v>Technology</v>
      </c>
      <c r="C474" s="21" t="n">
        <f aca="false">Portfolio!D474</f>
        <v>69315</v>
      </c>
      <c r="D474" s="22" t="n">
        <f aca="false">Portfolio!G474</f>
        <v>0.126813444592183</v>
      </c>
      <c r="E474" s="23" t="n">
        <f aca="false">Portfolio!E474</f>
        <v>0.292</v>
      </c>
      <c r="F474" s="17" t="n">
        <f aca="false">Portfolio!F474</f>
        <v>5</v>
      </c>
      <c r="G474" s="16" t="str">
        <f aca="false">IF(OR(F474&gt;='Cover &amp; Assumptions'!$C$22,Portfolio!I474=1),"Stage 3",IF(OR(F474&gt;=30,D474&gt;'Cover &amp; Assumptions'!$C$21),"Stage 2","Stage 1"))</f>
        <v>Stage 1</v>
      </c>
      <c r="H474" s="16" t="n">
        <f aca="false">IF(G474="Stage 1",12,MIN(Portfolio!H474,60))</f>
        <v>12</v>
      </c>
      <c r="I474" s="24" t="n">
        <f aca="false">1-(1-D474)^(H474/12)</f>
        <v>0.126813444592183</v>
      </c>
      <c r="J474" s="24" t="n">
        <f aca="false">IF(G474="Stage 1",D474,I474)</f>
        <v>0.126813444592183</v>
      </c>
      <c r="K474" s="25" t="n">
        <f aca="false">J474*'Cover &amp; Assumptions'!$D$11*E474*'Cover &amp; Assumptions'!$E$11*C474</f>
        <v>2072.61152768858</v>
      </c>
      <c r="L474" s="25" t="n">
        <f aca="false">J474*'Cover &amp; Assumptions'!$D$12*E474*'Cover &amp; Assumptions'!$E$12*C474</f>
        <v>2566.70158227688</v>
      </c>
      <c r="M474" s="25" t="n">
        <f aca="false">J474*'Cover &amp; Assumptions'!$D$13*E474*'Cover &amp; Assumptions'!$E$13*C474</f>
        <v>4466.06075316178</v>
      </c>
      <c r="N474" s="25" t="n">
        <f aca="false">K474*'Cover &amp; Assumptions'!$C$11+L474*'Cover &amp; Assumptions'!$C$12+M474*'Cover &amp; Assumptions'!$C$13</f>
        <v>2942.72336408045</v>
      </c>
    </row>
    <row r="475" customFormat="false" ht="15" hidden="false" customHeight="false" outlineLevel="0" collapsed="false">
      <c r="A475" s="17" t="str">
        <f aca="false">Portfolio!A475</f>
        <v>UKSME-104836</v>
      </c>
      <c r="B475" s="17" t="str">
        <f aca="false">Portfolio!B475</f>
        <v>Transport</v>
      </c>
      <c r="C475" s="21" t="n">
        <f aca="false">Portfolio!D475</f>
        <v>101284</v>
      </c>
      <c r="D475" s="22" t="n">
        <f aca="false">Portfolio!G475</f>
        <v>0.184432132923013</v>
      </c>
      <c r="E475" s="23" t="n">
        <f aca="false">Portfolio!E475</f>
        <v>0.251</v>
      </c>
      <c r="F475" s="17" t="n">
        <f aca="false">Portfolio!F475</f>
        <v>0</v>
      </c>
      <c r="G475" s="16" t="str">
        <f aca="false">IF(OR(F475&gt;='Cover &amp; Assumptions'!$C$22,Portfolio!I475=1),"Stage 3",IF(OR(F475&gt;=30,D475&gt;'Cover &amp; Assumptions'!$C$21),"Stage 2","Stage 1"))</f>
        <v>Stage 2</v>
      </c>
      <c r="H475" s="16" t="n">
        <f aca="false">IF(G475="Stage 1",12,MIN(Portfolio!H475,60))</f>
        <v>36</v>
      </c>
      <c r="I475" s="24" t="n">
        <f aca="false">1-(1-D475)^(H475/12)</f>
        <v>0.457524261842715</v>
      </c>
      <c r="J475" s="24" t="n">
        <f aca="false">IF(G475="Stage 1",D475,I475)</f>
        <v>0.457524261842715</v>
      </c>
      <c r="K475" s="25" t="n">
        <f aca="false">J475*'Cover &amp; Assumptions'!$D$11*E475*'Cover &amp; Assumptions'!$E$11*C475</f>
        <v>9392.28421507562</v>
      </c>
      <c r="L475" s="25" t="n">
        <f aca="false">J475*'Cover &amp; Assumptions'!$D$12*E475*'Cover &amp; Assumptions'!$E$12*C475</f>
        <v>11631.3117214559</v>
      </c>
      <c r="M475" s="25" t="n">
        <f aca="false">J475*'Cover &amp; Assumptions'!$D$13*E475*'Cover &amp; Assumptions'!$E$13*C475</f>
        <v>20238.4823953332</v>
      </c>
      <c r="N475" s="25" t="n">
        <f aca="false">K475*'Cover &amp; Assumptions'!$C$11+L475*'Cover &amp; Assumptions'!$C$12+M475*'Cover &amp; Assumptions'!$C$13</f>
        <v>13335.2988886492</v>
      </c>
    </row>
    <row r="476" customFormat="false" ht="15" hidden="false" customHeight="false" outlineLevel="0" collapsed="false">
      <c r="A476" s="17" t="str">
        <f aca="false">Portfolio!A476</f>
        <v>UKSME-100652</v>
      </c>
      <c r="B476" s="17" t="str">
        <f aca="false">Portfolio!B476</f>
        <v>Construction</v>
      </c>
      <c r="C476" s="21" t="n">
        <f aca="false">Portfolio!D476</f>
        <v>363608</v>
      </c>
      <c r="D476" s="22" t="n">
        <f aca="false">Portfolio!G476</f>
        <v>0.170201668475913</v>
      </c>
      <c r="E476" s="23" t="n">
        <f aca="false">Portfolio!E476</f>
        <v>0.204</v>
      </c>
      <c r="F476" s="17" t="n">
        <f aca="false">Portfolio!F476</f>
        <v>0</v>
      </c>
      <c r="G476" s="16" t="str">
        <f aca="false">IF(OR(F476&gt;='Cover &amp; Assumptions'!$C$22,Portfolio!I476=1),"Stage 3",IF(OR(F476&gt;=30,D476&gt;'Cover &amp; Assumptions'!$C$21),"Stage 2","Stage 1"))</f>
        <v>Stage 2</v>
      </c>
      <c r="H476" s="16" t="n">
        <f aca="false">IF(G476="Stage 1",12,MIN(Portfolio!H476,60))</f>
        <v>48</v>
      </c>
      <c r="I476" s="24" t="n">
        <f aca="false">1-(1-D476)^(H476/12)</f>
        <v>0.525877867572477</v>
      </c>
      <c r="J476" s="24" t="n">
        <f aca="false">IF(G476="Stage 1",D476,I476)</f>
        <v>0.525877867572477</v>
      </c>
      <c r="K476" s="25" t="n">
        <f aca="false">J476*'Cover &amp; Assumptions'!$D$11*E476*'Cover &amp; Assumptions'!$E$11*C476</f>
        <v>31498.5833280169</v>
      </c>
      <c r="L476" s="25" t="n">
        <f aca="false">J476*'Cover &amp; Assumptions'!$D$12*E476*'Cover &amp; Assumptions'!$E$12*C476</f>
        <v>39007.5335331478</v>
      </c>
      <c r="M476" s="25" t="n">
        <f aca="false">J476*'Cover &amp; Assumptions'!$D$13*E476*'Cover &amp; Assumptions'!$E$13*C476</f>
        <v>67873.1083476772</v>
      </c>
      <c r="N476" s="25" t="n">
        <f aca="false">K476*'Cover &amp; Assumptions'!$C$11+L476*'Cover &amp; Assumptions'!$C$12+M476*'Cover &amp; Assumptions'!$C$13</f>
        <v>44722.137195754</v>
      </c>
    </row>
    <row r="477" customFormat="false" ht="15" hidden="false" customHeight="false" outlineLevel="0" collapsed="false">
      <c r="A477" s="17" t="str">
        <f aca="false">Portfolio!A477</f>
        <v>UKSME-108771</v>
      </c>
      <c r="B477" s="17" t="str">
        <f aca="false">Portfolio!B477</f>
        <v>Manufacturing</v>
      </c>
      <c r="C477" s="21" t="n">
        <f aca="false">Portfolio!D477</f>
        <v>40804</v>
      </c>
      <c r="D477" s="22" t="n">
        <f aca="false">Portfolio!G477</f>
        <v>0.0954268144421341</v>
      </c>
      <c r="E477" s="23" t="n">
        <f aca="false">Portfolio!E477</f>
        <v>0.195</v>
      </c>
      <c r="F477" s="17" t="n">
        <f aca="false">Portfolio!F477</f>
        <v>5</v>
      </c>
      <c r="G477" s="16" t="str">
        <f aca="false">IF(OR(F477&gt;='Cover &amp; Assumptions'!$C$22,Portfolio!I477=1),"Stage 3",IF(OR(F477&gt;=30,D477&gt;'Cover &amp; Assumptions'!$C$21),"Stage 2","Stage 1"))</f>
        <v>Stage 1</v>
      </c>
      <c r="H477" s="16" t="n">
        <f aca="false">IF(G477="Stage 1",12,MIN(Portfolio!H477,60))</f>
        <v>12</v>
      </c>
      <c r="I477" s="24" t="n">
        <f aca="false">1-(1-D477)^(H477/12)</f>
        <v>0.0954268144421341</v>
      </c>
      <c r="J477" s="24" t="n">
        <f aca="false">IF(G477="Stage 1",D477,I477)</f>
        <v>0.0954268144421341</v>
      </c>
      <c r="K477" s="25" t="n">
        <f aca="false">J477*'Cover &amp; Assumptions'!$D$11*E477*'Cover &amp; Assumptions'!$E$11*C477</f>
        <v>613.126811158134</v>
      </c>
      <c r="L477" s="25" t="n">
        <f aca="false">J477*'Cover &amp; Assumptions'!$D$12*E477*'Cover &amp; Assumptions'!$E$12*C477</f>
        <v>759.290168616884</v>
      </c>
      <c r="M477" s="25" t="n">
        <f aca="false">J477*'Cover &amp; Assumptions'!$D$13*E477*'Cover &amp; Assumptions'!$E$13*C477</f>
        <v>1321.16489339338</v>
      </c>
      <c r="N477" s="25" t="n">
        <f aca="false">K477*'Cover &amp; Assumptions'!$C$11+L477*'Cover &amp; Assumptions'!$C$12+M477*'Cover &amp; Assumptions'!$C$13</f>
        <v>870.526178319257</v>
      </c>
    </row>
    <row r="478" customFormat="false" ht="15" hidden="false" customHeight="false" outlineLevel="0" collapsed="false">
      <c r="A478" s="17" t="str">
        <f aca="false">Portfolio!A478</f>
        <v>UKSME-101229</v>
      </c>
      <c r="B478" s="17" t="str">
        <f aca="false">Portfolio!B478</f>
        <v>Hospitality</v>
      </c>
      <c r="C478" s="21" t="n">
        <f aca="false">Portfolio!D478</f>
        <v>195972</v>
      </c>
      <c r="D478" s="22" t="n">
        <f aca="false">Portfolio!G478</f>
        <v>0.348836479621537</v>
      </c>
      <c r="E478" s="23" t="n">
        <f aca="false">Portfolio!E478</f>
        <v>0.244</v>
      </c>
      <c r="F478" s="17" t="n">
        <f aca="false">Portfolio!F478</f>
        <v>35</v>
      </c>
      <c r="G478" s="16" t="str">
        <f aca="false">IF(OR(F478&gt;='Cover &amp; Assumptions'!$C$22,Portfolio!I478=1),"Stage 3",IF(OR(F478&gt;=30,D478&gt;'Cover &amp; Assumptions'!$C$21),"Stage 2","Stage 1"))</f>
        <v>Stage 2</v>
      </c>
      <c r="H478" s="16" t="n">
        <f aca="false">IF(G478="Stage 1",12,MIN(Portfolio!H478,60))</f>
        <v>36</v>
      </c>
      <c r="I478" s="24" t="n">
        <f aca="false">1-(1-D478)^(H478/12)</f>
        <v>0.723897596474789</v>
      </c>
      <c r="J478" s="24" t="n">
        <f aca="false">IF(G478="Stage 1",D478,I478)</f>
        <v>0.723897596474789</v>
      </c>
      <c r="K478" s="25" t="n">
        <f aca="false">J478*'Cover &amp; Assumptions'!$D$11*E478*'Cover &amp; Assumptions'!$E$11*C478</f>
        <v>27951.3968857357</v>
      </c>
      <c r="L478" s="25" t="n">
        <f aca="false">J478*'Cover &amp; Assumptions'!$D$12*E478*'Cover &amp; Assumptions'!$E$12*C478</f>
        <v>34614.7329854312</v>
      </c>
      <c r="M478" s="25" t="n">
        <f aca="false">J478*'Cover &amp; Assumptions'!$D$13*E478*'Cover &amp; Assumptions'!$E$13*C478</f>
        <v>60229.6353946503</v>
      </c>
      <c r="N478" s="25" t="n">
        <f aca="false">K478*'Cover &amp; Assumptions'!$C$11+L478*'Cover &amp; Assumptions'!$C$12+M478*'Cover &amp; Assumptions'!$C$13</f>
        <v>39685.7913677969</v>
      </c>
    </row>
    <row r="479" customFormat="false" ht="15" hidden="false" customHeight="false" outlineLevel="0" collapsed="false">
      <c r="A479" s="17" t="str">
        <f aca="false">Portfolio!A479</f>
        <v>UKSME-104571</v>
      </c>
      <c r="B479" s="17" t="str">
        <f aca="false">Portfolio!B479</f>
        <v>Transport</v>
      </c>
      <c r="C479" s="21" t="n">
        <f aca="false">Portfolio!D479</f>
        <v>66235</v>
      </c>
      <c r="D479" s="22" t="n">
        <f aca="false">Portfolio!G479</f>
        <v>0.125665857392178</v>
      </c>
      <c r="E479" s="23" t="n">
        <f aca="false">Portfolio!E479</f>
        <v>0.155</v>
      </c>
      <c r="F479" s="17" t="n">
        <f aca="false">Portfolio!F479</f>
        <v>0</v>
      </c>
      <c r="G479" s="16" t="str">
        <f aca="false">IF(OR(F479&gt;='Cover &amp; Assumptions'!$C$22,Portfolio!I479=1),"Stage 3",IF(OR(F479&gt;=30,D479&gt;'Cover &amp; Assumptions'!$C$21),"Stage 2","Stage 1"))</f>
        <v>Stage 1</v>
      </c>
      <c r="H479" s="16" t="n">
        <f aca="false">IF(G479="Stage 1",12,MIN(Portfolio!H479,60))</f>
        <v>12</v>
      </c>
      <c r="I479" s="24" t="n">
        <f aca="false">1-(1-D479)^(H479/12)</f>
        <v>0.125665857392178</v>
      </c>
      <c r="J479" s="24" t="n">
        <f aca="false">IF(G479="Stage 1",D479,I479)</f>
        <v>0.125665857392178</v>
      </c>
      <c r="K479" s="25" t="n">
        <f aca="false">J479*'Cover &amp; Assumptions'!$D$11*E479*'Cover &amp; Assumptions'!$E$11*C479</f>
        <v>1041.78732323182</v>
      </c>
      <c r="L479" s="25" t="n">
        <f aca="false">J479*'Cover &amp; Assumptions'!$D$12*E479*'Cover &amp; Assumptions'!$E$12*C479</f>
        <v>1290.13909997749</v>
      </c>
      <c r="M479" s="25" t="n">
        <f aca="false">J479*'Cover &amp; Assumptions'!$D$13*E479*'Cover &amp; Assumptions'!$E$13*C479</f>
        <v>2244.84203396083</v>
      </c>
      <c r="N479" s="25" t="n">
        <f aca="false">K479*'Cover &amp; Assumptions'!$C$11+L479*'Cover &amp; Assumptions'!$C$12+M479*'Cover &amp; Assumptions'!$C$13</f>
        <v>1479.14447812419</v>
      </c>
    </row>
    <row r="480" customFormat="false" ht="15" hidden="false" customHeight="false" outlineLevel="0" collapsed="false">
      <c r="A480" s="17" t="str">
        <f aca="false">Portfolio!A480</f>
        <v>UKSME-107972</v>
      </c>
      <c r="B480" s="17" t="str">
        <f aca="false">Portfolio!B480</f>
        <v>Professional Services</v>
      </c>
      <c r="C480" s="21" t="n">
        <f aca="false">Portfolio!D480</f>
        <v>4823</v>
      </c>
      <c r="D480" s="22" t="n">
        <f aca="false">Portfolio!G480</f>
        <v>0.136992171587866</v>
      </c>
      <c r="E480" s="23" t="n">
        <f aca="false">Portfolio!E480</f>
        <v>0.329</v>
      </c>
      <c r="F480" s="17" t="n">
        <f aca="false">Portfolio!F480</f>
        <v>0</v>
      </c>
      <c r="G480" s="16" t="str">
        <f aca="false">IF(OR(F480&gt;='Cover &amp; Assumptions'!$C$22,Portfolio!I480=1),"Stage 3",IF(OR(F480&gt;=30,D480&gt;'Cover &amp; Assumptions'!$C$21),"Stage 2","Stage 1"))</f>
        <v>Stage 1</v>
      </c>
      <c r="H480" s="16" t="n">
        <f aca="false">IF(G480="Stage 1",12,MIN(Portfolio!H480,60))</f>
        <v>12</v>
      </c>
      <c r="I480" s="24" t="n">
        <f aca="false">1-(1-D480)^(H480/12)</f>
        <v>0.136992171587866</v>
      </c>
      <c r="J480" s="24" t="n">
        <f aca="false">IF(G480="Stage 1",D480,I480)</f>
        <v>0.136992171587866</v>
      </c>
      <c r="K480" s="25" t="n">
        <f aca="false">J480*'Cover &amp; Assumptions'!$D$11*E480*'Cover &amp; Assumptions'!$E$11*C480</f>
        <v>175.530035635675</v>
      </c>
      <c r="L480" s="25" t="n">
        <f aca="false">J480*'Cover &amp; Assumptions'!$D$12*E480*'Cover &amp; Assumptions'!$E$12*C480</f>
        <v>217.374657133963</v>
      </c>
      <c r="M480" s="25" t="n">
        <f aca="false">J480*'Cover &amp; Assumptions'!$D$13*E480*'Cover &amp; Assumptions'!$E$13*C480</f>
        <v>378.231903413096</v>
      </c>
      <c r="N480" s="25" t="n">
        <f aca="false">K480*'Cover &amp; Assumptions'!$C$11+L480*'Cover &amp; Assumptions'!$C$12+M480*'Cover &amp; Assumptions'!$C$13</f>
        <v>249.220044404089</v>
      </c>
    </row>
    <row r="481" customFormat="false" ht="15" hidden="false" customHeight="false" outlineLevel="0" collapsed="false">
      <c r="A481" s="17" t="str">
        <f aca="false">Portfolio!A481</f>
        <v>UKSME-108007</v>
      </c>
      <c r="B481" s="17" t="str">
        <f aca="false">Portfolio!B481</f>
        <v>Real Estate</v>
      </c>
      <c r="C481" s="21" t="n">
        <f aca="false">Portfolio!D481</f>
        <v>97335</v>
      </c>
      <c r="D481" s="22" t="n">
        <f aca="false">Portfolio!G481</f>
        <v>0.0989709848891444</v>
      </c>
      <c r="E481" s="23" t="n">
        <f aca="false">Portfolio!E481</f>
        <v>0.206</v>
      </c>
      <c r="F481" s="17" t="n">
        <f aca="false">Portfolio!F481</f>
        <v>0</v>
      </c>
      <c r="G481" s="16" t="str">
        <f aca="false">IF(OR(F481&gt;='Cover &amp; Assumptions'!$C$22,Portfolio!I481=1),"Stage 3",IF(OR(F481&gt;=30,D481&gt;'Cover &amp; Assumptions'!$C$21),"Stage 2","Stage 1"))</f>
        <v>Stage 1</v>
      </c>
      <c r="H481" s="16" t="n">
        <f aca="false">IF(G481="Stage 1",12,MIN(Portfolio!H481,60))</f>
        <v>12</v>
      </c>
      <c r="I481" s="24" t="n">
        <f aca="false">1-(1-D481)^(H481/12)</f>
        <v>0.0989709848891444</v>
      </c>
      <c r="J481" s="24" t="n">
        <f aca="false">IF(G481="Stage 1",D481,I481)</f>
        <v>0.0989709848891444</v>
      </c>
      <c r="K481" s="25" t="n">
        <f aca="false">J481*'Cover &amp; Assumptions'!$D$11*E481*'Cover &amp; Assumptions'!$E$11*C481</f>
        <v>1602.45807773558</v>
      </c>
      <c r="L481" s="25" t="n">
        <f aca="false">J481*'Cover &amp; Assumptions'!$D$12*E481*'Cover &amp; Assumptions'!$E$12*C481</f>
        <v>1984.46820772208</v>
      </c>
      <c r="M481" s="25" t="n">
        <f aca="false">J481*'Cover &amp; Assumptions'!$D$13*E481*'Cover &amp; Assumptions'!$E$13*C481</f>
        <v>3452.97468143642</v>
      </c>
      <c r="N481" s="25" t="n">
        <f aca="false">K481*'Cover &amp; Assumptions'!$C$11+L481*'Cover &amp; Assumptions'!$C$12+M481*'Cover &amp; Assumptions'!$C$13</f>
        <v>2275.19280015337</v>
      </c>
    </row>
    <row r="482" customFormat="false" ht="15" hidden="false" customHeight="false" outlineLevel="0" collapsed="false">
      <c r="A482" s="17" t="str">
        <f aca="false">Portfolio!A482</f>
        <v>UKSME-100412</v>
      </c>
      <c r="B482" s="17" t="str">
        <f aca="false">Portfolio!B482</f>
        <v>Healthcare</v>
      </c>
      <c r="C482" s="21" t="n">
        <f aca="false">Portfolio!D482</f>
        <v>58458</v>
      </c>
      <c r="D482" s="22" t="n">
        <f aca="false">Portfolio!G482</f>
        <v>0.28560719360734</v>
      </c>
      <c r="E482" s="23" t="n">
        <f aca="false">Portfolio!E482</f>
        <v>0.822</v>
      </c>
      <c r="F482" s="17" t="n">
        <f aca="false">Portfolio!F482</f>
        <v>0</v>
      </c>
      <c r="G482" s="16" t="str">
        <f aca="false">IF(OR(F482&gt;='Cover &amp; Assumptions'!$C$22,Portfolio!I482=1),"Stage 3",IF(OR(F482&gt;=30,D482&gt;'Cover &amp; Assumptions'!$C$21),"Stage 2","Stage 1"))</f>
        <v>Stage 3</v>
      </c>
      <c r="H482" s="16" t="n">
        <f aca="false">IF(G482="Stage 1",12,MIN(Portfolio!H482,60))</f>
        <v>48</v>
      </c>
      <c r="I482" s="24" t="n">
        <f aca="false">1-(1-D482)^(H482/12)</f>
        <v>0.739535649030478</v>
      </c>
      <c r="J482" s="24" t="n">
        <f aca="false">IF(G482="Stage 1",D482,I482)</f>
        <v>0.739535649030478</v>
      </c>
      <c r="K482" s="25" t="n">
        <f aca="false">J482*'Cover &amp; Assumptions'!$D$11*E482*'Cover &amp; Assumptions'!$E$11*C482</f>
        <v>28695.7391136415</v>
      </c>
      <c r="L482" s="25" t="n">
        <f aca="false">J482*'Cover &amp; Assumptions'!$D$12*E482*'Cover &amp; Assumptions'!$E$12*C482</f>
        <v>35536.5190261815</v>
      </c>
      <c r="M482" s="25" t="n">
        <f aca="false">J482*'Cover &amp; Assumptions'!$D$13*E482*'Cover &amp; Assumptions'!$E$13*C482</f>
        <v>61833.5431055557</v>
      </c>
      <c r="N482" s="25" t="n">
        <f aca="false">K482*'Cover &amp; Assumptions'!$C$11+L482*'Cover &amp; Assumptions'!$C$12+M482*'Cover &amp; Assumptions'!$C$13</f>
        <v>40742.6190635171</v>
      </c>
    </row>
    <row r="483" customFormat="false" ht="15" hidden="false" customHeight="false" outlineLevel="0" collapsed="false">
      <c r="A483" s="17" t="str">
        <f aca="false">Portfolio!A483</f>
        <v>UKSME-102399</v>
      </c>
      <c r="B483" s="17" t="str">
        <f aca="false">Portfolio!B483</f>
        <v>Hospitality</v>
      </c>
      <c r="C483" s="21" t="n">
        <f aca="false">Portfolio!D483</f>
        <v>73629</v>
      </c>
      <c r="D483" s="22" t="n">
        <f aca="false">Portfolio!G483</f>
        <v>0.202728197219317</v>
      </c>
      <c r="E483" s="23" t="n">
        <f aca="false">Portfolio!E483</f>
        <v>0.422</v>
      </c>
      <c r="F483" s="17" t="n">
        <f aca="false">Portfolio!F483</f>
        <v>15</v>
      </c>
      <c r="G483" s="16" t="str">
        <f aca="false">IF(OR(F483&gt;='Cover &amp; Assumptions'!$C$22,Portfolio!I483=1),"Stage 3",IF(OR(F483&gt;=30,D483&gt;'Cover &amp; Assumptions'!$C$21),"Stage 2","Stage 1"))</f>
        <v>Stage 2</v>
      </c>
      <c r="H483" s="16" t="n">
        <f aca="false">IF(G483="Stage 1",12,MIN(Portfolio!H483,60))</f>
        <v>60</v>
      </c>
      <c r="I483" s="24" t="n">
        <f aca="false">1-(1-D483)^(H483/12)</f>
        <v>0.677869369175439</v>
      </c>
      <c r="J483" s="24" t="n">
        <f aca="false">IF(G483="Stage 1",D483,I483)</f>
        <v>0.677869369175439</v>
      </c>
      <c r="K483" s="25" t="n">
        <f aca="false">J483*'Cover &amp; Assumptions'!$D$11*E483*'Cover &amp; Assumptions'!$E$11*C483</f>
        <v>17007.8686817203</v>
      </c>
      <c r="L483" s="25" t="n">
        <f aca="false">J483*'Cover &amp; Assumptions'!$D$12*E483*'Cover &amp; Assumptions'!$E$12*C483</f>
        <v>21062.3760764338</v>
      </c>
      <c r="M483" s="25" t="n">
        <f aca="false">J483*'Cover &amp; Assumptions'!$D$13*E483*'Cover &amp; Assumptions'!$E$13*C483</f>
        <v>36648.5343729947</v>
      </c>
      <c r="N483" s="25" t="n">
        <f aca="false">K483*'Cover &amp; Assumptions'!$C$11+L483*'Cover &amp; Assumptions'!$C$12+M483*'Cover &amp; Assumptions'!$C$13</f>
        <v>24148.0141716313</v>
      </c>
    </row>
    <row r="484" customFormat="false" ht="15" hidden="false" customHeight="false" outlineLevel="0" collapsed="false">
      <c r="A484" s="17" t="str">
        <f aca="false">Portfolio!A484</f>
        <v>UKSME-105718</v>
      </c>
      <c r="B484" s="17" t="str">
        <f aca="false">Portfolio!B484</f>
        <v>Transport</v>
      </c>
      <c r="C484" s="21" t="n">
        <f aca="false">Portfolio!D484</f>
        <v>272165</v>
      </c>
      <c r="D484" s="22" t="n">
        <f aca="false">Portfolio!G484</f>
        <v>0.174391063815641</v>
      </c>
      <c r="E484" s="23" t="n">
        <f aca="false">Portfolio!E484</f>
        <v>0.28</v>
      </c>
      <c r="F484" s="17" t="n">
        <f aca="false">Portfolio!F484</f>
        <v>0</v>
      </c>
      <c r="G484" s="16" t="str">
        <f aca="false">IF(OR(F484&gt;='Cover &amp; Assumptions'!$C$22,Portfolio!I484=1),"Stage 3",IF(OR(F484&gt;=30,D484&gt;'Cover &amp; Assumptions'!$C$21),"Stage 2","Stage 1"))</f>
        <v>Stage 2</v>
      </c>
      <c r="H484" s="16" t="n">
        <f aca="false">IF(G484="Stage 1",12,MIN(Portfolio!H484,60))</f>
        <v>60</v>
      </c>
      <c r="I484" s="24" t="n">
        <f aca="false">1-(1-D484)^(H484/12)</f>
        <v>0.6164058944523</v>
      </c>
      <c r="J484" s="24" t="n">
        <f aca="false">IF(G484="Stage 1",D484,I484)</f>
        <v>0.6164058944523</v>
      </c>
      <c r="K484" s="25" t="n">
        <f aca="false">J484*'Cover &amp; Assumptions'!$D$11*E484*'Cover &amp; Assumptions'!$E$11*C484</f>
        <v>37931.4653306023</v>
      </c>
      <c r="L484" s="25" t="n">
        <f aca="false">J484*'Cover &amp; Assumptions'!$D$12*E484*'Cover &amp; Assumptions'!$E$12*C484</f>
        <v>46973.9508738109</v>
      </c>
      <c r="M484" s="25" t="n">
        <f aca="false">J484*'Cover &amp; Assumptions'!$D$13*E484*'Cover &amp; Assumptions'!$E$13*C484</f>
        <v>81734.6745204309</v>
      </c>
      <c r="N484" s="25" t="n">
        <f aca="false">K484*'Cover &amp; Assumptions'!$C$11+L484*'Cover &amp; Assumptions'!$C$12+M484*'Cover &amp; Assumptions'!$C$13</f>
        <v>53855.6346768242</v>
      </c>
    </row>
    <row r="485" customFormat="false" ht="15" hidden="false" customHeight="false" outlineLevel="0" collapsed="false">
      <c r="A485" s="17" t="str">
        <f aca="false">Portfolio!A485</f>
        <v>UKSME-104347</v>
      </c>
      <c r="B485" s="17" t="str">
        <f aca="false">Portfolio!B485</f>
        <v>Transport</v>
      </c>
      <c r="C485" s="21" t="n">
        <f aca="false">Portfolio!D485</f>
        <v>134109</v>
      </c>
      <c r="D485" s="22" t="n">
        <f aca="false">Portfolio!G485</f>
        <v>0.161607745940743</v>
      </c>
      <c r="E485" s="23" t="n">
        <f aca="false">Portfolio!E485</f>
        <v>0.251</v>
      </c>
      <c r="F485" s="17" t="n">
        <f aca="false">Portfolio!F485</f>
        <v>0</v>
      </c>
      <c r="G485" s="16" t="str">
        <f aca="false">IF(OR(F485&gt;='Cover &amp; Assumptions'!$C$22,Portfolio!I485=1),"Stage 3",IF(OR(F485&gt;=30,D485&gt;'Cover &amp; Assumptions'!$C$21),"Stage 2","Stage 1"))</f>
        <v>Stage 2</v>
      </c>
      <c r="H485" s="16" t="n">
        <f aca="false">IF(G485="Stage 1",12,MIN(Portfolio!H485,60))</f>
        <v>60</v>
      </c>
      <c r="I485" s="24" t="n">
        <f aca="false">1-(1-D485)^(H485/12)</f>
        <v>0.585775019693752</v>
      </c>
      <c r="J485" s="24" t="n">
        <f aca="false">IF(G485="Stage 1",D485,I485)</f>
        <v>0.585775019693752</v>
      </c>
      <c r="K485" s="25" t="n">
        <f aca="false">J485*'Cover &amp; Assumptions'!$D$11*E485*'Cover &amp; Assumptions'!$E$11*C485</f>
        <v>15922.2714591483</v>
      </c>
      <c r="L485" s="25" t="n">
        <f aca="false">J485*'Cover &amp; Assumptions'!$D$12*E485*'Cover &amp; Assumptions'!$E$12*C485</f>
        <v>19717.9832311434</v>
      </c>
      <c r="M485" s="25" t="n">
        <f aca="false">J485*'Cover &amp; Assumptions'!$D$13*E485*'Cover &amp; Assumptions'!$E$13*C485</f>
        <v>34309.2908221896</v>
      </c>
      <c r="N485" s="25" t="n">
        <f aca="false">K485*'Cover &amp; Assumptions'!$C$11+L485*'Cover &amp; Assumptions'!$C$12+M485*'Cover &amp; Assumptions'!$C$13</f>
        <v>22606.667774506</v>
      </c>
    </row>
    <row r="486" customFormat="false" ht="15" hidden="false" customHeight="false" outlineLevel="0" collapsed="false">
      <c r="A486" s="17" t="str">
        <f aca="false">Portfolio!A486</f>
        <v>UKSME-100227</v>
      </c>
      <c r="B486" s="17" t="str">
        <f aca="false">Portfolio!B486</f>
        <v>Real Estate</v>
      </c>
      <c r="C486" s="21" t="n">
        <f aca="false">Portfolio!D486</f>
        <v>38559</v>
      </c>
      <c r="D486" s="22" t="n">
        <f aca="false">Portfolio!G486</f>
        <v>0.168793420669582</v>
      </c>
      <c r="E486" s="23" t="n">
        <f aca="false">Portfolio!E486</f>
        <v>0.72</v>
      </c>
      <c r="F486" s="17" t="n">
        <f aca="false">Portfolio!F486</f>
        <v>0</v>
      </c>
      <c r="G486" s="16" t="str">
        <f aca="false">IF(OR(F486&gt;='Cover &amp; Assumptions'!$C$22,Portfolio!I486=1),"Stage 3",IF(OR(F486&gt;=30,D486&gt;'Cover &amp; Assumptions'!$C$21),"Stage 2","Stage 1"))</f>
        <v>Stage 2</v>
      </c>
      <c r="H486" s="16" t="n">
        <f aca="false">IF(G486="Stage 1",12,MIN(Portfolio!H486,60))</f>
        <v>60</v>
      </c>
      <c r="I486" s="24" t="n">
        <f aca="false">1-(1-D486)^(H486/12)</f>
        <v>0.603224487863656</v>
      </c>
      <c r="J486" s="24" t="n">
        <f aca="false">IF(G486="Stage 1",D486,I486)</f>
        <v>0.603224487863656</v>
      </c>
      <c r="K486" s="25" t="n">
        <f aca="false">J486*'Cover &amp; Assumptions'!$D$11*E486*'Cover &amp; Assumptions'!$E$11*C486</f>
        <v>13523.2087822087</v>
      </c>
      <c r="L486" s="25" t="n">
        <f aca="false">J486*'Cover &amp; Assumptions'!$D$12*E486*'Cover &amp; Assumptions'!$E$12*C486</f>
        <v>16747.007779825</v>
      </c>
      <c r="M486" s="25" t="n">
        <f aca="false">J486*'Cover &amp; Assumptions'!$D$13*E486*'Cover &amp; Assumptions'!$E$13*C486</f>
        <v>29139.7935368955</v>
      </c>
      <c r="N486" s="25" t="n">
        <f aca="false">K486*'Cover &amp; Assumptions'!$C$11+L486*'Cover &amp; Assumptions'!$C$12+M486*'Cover &amp; Assumptions'!$C$13</f>
        <v>19200.4444195693</v>
      </c>
    </row>
    <row r="487" customFormat="false" ht="15" hidden="false" customHeight="false" outlineLevel="0" collapsed="false">
      <c r="A487" s="17" t="str">
        <f aca="false">Portfolio!A487</f>
        <v>UKSME-106643</v>
      </c>
      <c r="B487" s="17" t="str">
        <f aca="false">Portfolio!B487</f>
        <v>Manufacturing</v>
      </c>
      <c r="C487" s="21" t="n">
        <f aca="false">Portfolio!D487</f>
        <v>49209</v>
      </c>
      <c r="D487" s="22" t="n">
        <f aca="false">Portfolio!G487</f>
        <v>0.198920016566178</v>
      </c>
      <c r="E487" s="23" t="n">
        <f aca="false">Portfolio!E487</f>
        <v>0.706</v>
      </c>
      <c r="F487" s="17" t="n">
        <f aca="false">Portfolio!F487</f>
        <v>5</v>
      </c>
      <c r="G487" s="16" t="str">
        <f aca="false">IF(OR(F487&gt;='Cover &amp; Assumptions'!$C$22,Portfolio!I487=1),"Stage 3",IF(OR(F487&gt;=30,D487&gt;'Cover &amp; Assumptions'!$C$21),"Stage 2","Stage 1"))</f>
        <v>Stage 2</v>
      </c>
      <c r="H487" s="16" t="n">
        <f aca="false">IF(G487="Stage 1",12,MIN(Portfolio!H487,60))</f>
        <v>24</v>
      </c>
      <c r="I487" s="24" t="n">
        <f aca="false">1-(1-D487)^(H487/12)</f>
        <v>0.358270860141667</v>
      </c>
      <c r="J487" s="24" t="n">
        <f aca="false">IF(G487="Stage 1",D487,I487)</f>
        <v>0.358270860141667</v>
      </c>
      <c r="K487" s="25" t="n">
        <f aca="false">J487*'Cover &amp; Assumptions'!$D$11*E487*'Cover &amp; Assumptions'!$E$11*C487</f>
        <v>10050.8607956473</v>
      </c>
      <c r="L487" s="25" t="n">
        <f aca="false">J487*'Cover &amp; Assumptions'!$D$12*E487*'Cover &amp; Assumptions'!$E$12*C487</f>
        <v>12446.8864342382</v>
      </c>
      <c r="M487" s="25" t="n">
        <f aca="false">J487*'Cover &amp; Assumptions'!$D$13*E487*'Cover &amp; Assumptions'!$E$13*C487</f>
        <v>21657.5823955744</v>
      </c>
      <c r="N487" s="25" t="n">
        <f aca="false">K487*'Cover &amp; Assumptions'!$C$11+L487*'Cover &amp; Assumptions'!$C$12+M487*'Cover &amp; Assumptions'!$C$13</f>
        <v>14270.3552968541</v>
      </c>
    </row>
    <row r="488" customFormat="false" ht="15" hidden="false" customHeight="false" outlineLevel="0" collapsed="false">
      <c r="A488" s="17" t="str">
        <f aca="false">Portfolio!A488</f>
        <v>UKSME-107110</v>
      </c>
      <c r="B488" s="17" t="str">
        <f aca="false">Portfolio!B488</f>
        <v>Technology</v>
      </c>
      <c r="C488" s="21" t="n">
        <f aca="false">Portfolio!D488</f>
        <v>31040</v>
      </c>
      <c r="D488" s="22" t="n">
        <f aca="false">Portfolio!G488</f>
        <v>0.0980755174564824</v>
      </c>
      <c r="E488" s="23" t="n">
        <f aca="false">Portfolio!E488</f>
        <v>0.05</v>
      </c>
      <c r="F488" s="17" t="n">
        <f aca="false">Portfolio!F488</f>
        <v>0</v>
      </c>
      <c r="G488" s="16" t="str">
        <f aca="false">IF(OR(F488&gt;='Cover &amp; Assumptions'!$C$22,Portfolio!I488=1),"Stage 3",IF(OR(F488&gt;=30,D488&gt;'Cover &amp; Assumptions'!$C$21),"Stage 2","Stage 1"))</f>
        <v>Stage 1</v>
      </c>
      <c r="H488" s="16" t="n">
        <f aca="false">IF(G488="Stage 1",12,MIN(Portfolio!H488,60))</f>
        <v>12</v>
      </c>
      <c r="I488" s="24" t="n">
        <f aca="false">1-(1-D488)^(H488/12)</f>
        <v>0.0980755174564824</v>
      </c>
      <c r="J488" s="24" t="n">
        <f aca="false">IF(G488="Stage 1",D488,I488)</f>
        <v>0.0980755174564824</v>
      </c>
      <c r="K488" s="25" t="n">
        <f aca="false">J488*'Cover &amp; Assumptions'!$D$11*E488*'Cover &amp; Assumptions'!$E$11*C488</f>
        <v>122.912161497162</v>
      </c>
      <c r="L488" s="25" t="n">
        <f aca="false">J488*'Cover &amp; Assumptions'!$D$12*E488*'Cover &amp; Assumptions'!$E$12*C488</f>
        <v>152.213203092461</v>
      </c>
      <c r="M488" s="25" t="n">
        <f aca="false">J488*'Cover &amp; Assumptions'!$D$13*E488*'Cover &amp; Assumptions'!$E$13*C488</f>
        <v>264.850973380882</v>
      </c>
      <c r="N488" s="25" t="n">
        <f aca="false">K488*'Cover &amp; Assumptions'!$C$11+L488*'Cover &amp; Assumptions'!$C$12+M488*'Cover &amp; Assumptions'!$C$13</f>
        <v>174.512437345506</v>
      </c>
    </row>
    <row r="489" customFormat="false" ht="15" hidden="false" customHeight="false" outlineLevel="0" collapsed="false">
      <c r="A489" s="17" t="str">
        <f aca="false">Portfolio!A489</f>
        <v>UKSME-102573</v>
      </c>
      <c r="B489" s="17" t="str">
        <f aca="false">Portfolio!B489</f>
        <v>Transport</v>
      </c>
      <c r="C489" s="21" t="n">
        <f aca="false">Portfolio!D489</f>
        <v>51968</v>
      </c>
      <c r="D489" s="22" t="n">
        <f aca="false">Portfolio!G489</f>
        <v>0.160504131520579</v>
      </c>
      <c r="E489" s="23" t="n">
        <f aca="false">Portfolio!E489</f>
        <v>0.405</v>
      </c>
      <c r="F489" s="17" t="n">
        <f aca="false">Portfolio!F489</f>
        <v>0</v>
      </c>
      <c r="G489" s="16" t="str">
        <f aca="false">IF(OR(F489&gt;='Cover &amp; Assumptions'!$C$22,Portfolio!I489=1),"Stage 3",IF(OR(F489&gt;=30,D489&gt;'Cover &amp; Assumptions'!$C$21),"Stage 2","Stage 1"))</f>
        <v>Stage 2</v>
      </c>
      <c r="H489" s="16" t="n">
        <f aca="false">IF(G489="Stage 1",12,MIN(Portfolio!H489,60))</f>
        <v>48</v>
      </c>
      <c r="I489" s="24" t="n">
        <f aca="false">1-(1-D489)^(H489/12)</f>
        <v>0.503322767542054</v>
      </c>
      <c r="J489" s="24" t="n">
        <f aca="false">IF(G489="Stage 1",D489,I489)</f>
        <v>0.503322767542054</v>
      </c>
      <c r="K489" s="25" t="n">
        <f aca="false">J489*'Cover &amp; Assumptions'!$D$11*E489*'Cover &amp; Assumptions'!$E$11*C489</f>
        <v>8554.21444525492</v>
      </c>
      <c r="L489" s="25" t="n">
        <f aca="false">J489*'Cover &amp; Assumptions'!$D$12*E489*'Cover &amp; Assumptions'!$E$12*C489</f>
        <v>10593.4544213683</v>
      </c>
      <c r="M489" s="25" t="n">
        <f aca="false">J489*'Cover &amp; Assumptions'!$D$13*E489*'Cover &amp; Assumptions'!$E$13*C489</f>
        <v>18432.6106931809</v>
      </c>
      <c r="N489" s="25" t="n">
        <f aca="false">K489*'Cover &amp; Assumptions'!$C$11+L489*'Cover &amp; Assumptions'!$C$12+M489*'Cover &amp; Assumptions'!$C$13</f>
        <v>12145.3954940988</v>
      </c>
    </row>
    <row r="490" customFormat="false" ht="15" hidden="false" customHeight="false" outlineLevel="0" collapsed="false">
      <c r="A490" s="17" t="str">
        <f aca="false">Portfolio!A490</f>
        <v>UKSME-100761</v>
      </c>
      <c r="B490" s="17" t="str">
        <f aca="false">Portfolio!B490</f>
        <v>Wholesale</v>
      </c>
      <c r="C490" s="21" t="n">
        <f aca="false">Portfolio!D490</f>
        <v>28347</v>
      </c>
      <c r="D490" s="22" t="n">
        <f aca="false">Portfolio!G490</f>
        <v>0.0325317344648579</v>
      </c>
      <c r="E490" s="23" t="n">
        <f aca="false">Portfolio!E490</f>
        <v>0.203</v>
      </c>
      <c r="F490" s="17" t="n">
        <f aca="false">Portfolio!F490</f>
        <v>0</v>
      </c>
      <c r="G490" s="16" t="str">
        <f aca="false">IF(OR(F490&gt;='Cover &amp; Assumptions'!$C$22,Portfolio!I490=1),"Stage 3",IF(OR(F490&gt;=30,D490&gt;'Cover &amp; Assumptions'!$C$21),"Stage 2","Stage 1"))</f>
        <v>Stage 1</v>
      </c>
      <c r="H490" s="16" t="n">
        <f aca="false">IF(G490="Stage 1",12,MIN(Portfolio!H490,60))</f>
        <v>12</v>
      </c>
      <c r="I490" s="24" t="n">
        <f aca="false">1-(1-D490)^(H490/12)</f>
        <v>0.0325317344648579</v>
      </c>
      <c r="J490" s="24" t="n">
        <f aca="false">IF(G490="Stage 1",D490,I490)</f>
        <v>0.0325317344648579</v>
      </c>
      <c r="K490" s="25" t="n">
        <f aca="false">J490*'Cover &amp; Assumptions'!$D$11*E490*'Cover &amp; Assumptions'!$E$11*C490</f>
        <v>151.165571884096</v>
      </c>
      <c r="L490" s="25" t="n">
        <f aca="false">J490*'Cover &amp; Assumptions'!$D$12*E490*'Cover &amp; Assumptions'!$E$12*C490</f>
        <v>187.201946605691</v>
      </c>
      <c r="M490" s="25" t="n">
        <f aca="false">J490*'Cover &amp; Assumptions'!$D$13*E490*'Cover &amp; Assumptions'!$E$13*C490</f>
        <v>325.731387093903</v>
      </c>
      <c r="N490" s="25" t="n">
        <f aca="false">K490*'Cover &amp; Assumptions'!$C$11+L490*'Cover &amp; Assumptions'!$C$12+M490*'Cover &amp; Assumptions'!$C$13</f>
        <v>214.627031783425</v>
      </c>
    </row>
    <row r="491" customFormat="false" ht="15" hidden="false" customHeight="false" outlineLevel="0" collapsed="false">
      <c r="A491" s="17" t="str">
        <f aca="false">Portfolio!A491</f>
        <v>UKSME-101460</v>
      </c>
      <c r="B491" s="17" t="str">
        <f aca="false">Portfolio!B491</f>
        <v>Retail</v>
      </c>
      <c r="C491" s="21" t="n">
        <f aca="false">Portfolio!D491</f>
        <v>52939</v>
      </c>
      <c r="D491" s="22" t="n">
        <f aca="false">Portfolio!G491</f>
        <v>0.273825644540232</v>
      </c>
      <c r="E491" s="23" t="n">
        <f aca="false">Portfolio!E491</f>
        <v>0.782</v>
      </c>
      <c r="F491" s="17" t="n">
        <f aca="false">Portfolio!F491</f>
        <v>0</v>
      </c>
      <c r="G491" s="16" t="str">
        <f aca="false">IF(OR(F491&gt;='Cover &amp; Assumptions'!$C$22,Portfolio!I491=1),"Stage 3",IF(OR(F491&gt;=30,D491&gt;'Cover &amp; Assumptions'!$C$21),"Stage 2","Stage 1"))</f>
        <v>Stage 3</v>
      </c>
      <c r="H491" s="16" t="n">
        <f aca="false">IF(G491="Stage 1",12,MIN(Portfolio!H491,60))</f>
        <v>48</v>
      </c>
      <c r="I491" s="24" t="n">
        <f aca="false">1-(1-D491)^(H491/12)</f>
        <v>0.721923920599074</v>
      </c>
      <c r="J491" s="24" t="n">
        <f aca="false">IF(G491="Stage 1",D491,I491)</f>
        <v>0.721923920599074</v>
      </c>
      <c r="K491" s="25" t="n">
        <f aca="false">J491*'Cover &amp; Assumptions'!$D$11*E491*'Cover &amp; Assumptions'!$E$11*C491</f>
        <v>24133.2854406182</v>
      </c>
      <c r="L491" s="25" t="n">
        <f aca="false">J491*'Cover &amp; Assumptions'!$D$12*E491*'Cover &amp; Assumptions'!$E$12*C491</f>
        <v>29886.4215982888</v>
      </c>
      <c r="M491" s="25" t="n">
        <f aca="false">J491*'Cover &amp; Assumptions'!$D$13*E491*'Cover &amp; Assumptions'!$E$13*C491</f>
        <v>52002.3735810225</v>
      </c>
      <c r="N491" s="25" t="n">
        <f aca="false">K491*'Cover &amp; Assumptions'!$C$11+L491*'Cover &amp; Assumptions'!$C$12+M491*'Cover &amp; Assumptions'!$C$13</f>
        <v>34264.7823624381</v>
      </c>
    </row>
    <row r="492" customFormat="false" ht="15" hidden="false" customHeight="false" outlineLevel="0" collapsed="false">
      <c r="A492" s="17" t="str">
        <f aca="false">Portfolio!A492</f>
        <v>UKSME-102904</v>
      </c>
      <c r="B492" s="17" t="str">
        <f aca="false">Portfolio!B492</f>
        <v>Hospitality</v>
      </c>
      <c r="C492" s="21" t="n">
        <f aca="false">Portfolio!D492</f>
        <v>225244</v>
      </c>
      <c r="D492" s="22" t="n">
        <f aca="false">Portfolio!G492</f>
        <v>0.15271140558889</v>
      </c>
      <c r="E492" s="23" t="n">
        <f aca="false">Portfolio!E492</f>
        <v>0.169</v>
      </c>
      <c r="F492" s="17" t="n">
        <f aca="false">Portfolio!F492</f>
        <v>0</v>
      </c>
      <c r="G492" s="16" t="str">
        <f aca="false">IF(OR(F492&gt;='Cover &amp; Assumptions'!$C$22,Portfolio!I492=1),"Stage 3",IF(OR(F492&gt;=30,D492&gt;'Cover &amp; Assumptions'!$C$21),"Stage 2","Stage 1"))</f>
        <v>Stage 2</v>
      </c>
      <c r="H492" s="16" t="n">
        <f aca="false">IF(G492="Stage 1",12,MIN(Portfolio!H492,60))</f>
        <v>48</v>
      </c>
      <c r="I492" s="24" t="n">
        <f aca="false">1-(1-D492)^(H492/12)</f>
        <v>0.484622515841585</v>
      </c>
      <c r="J492" s="24" t="n">
        <f aca="false">IF(G492="Stage 1",D492,I492)</f>
        <v>0.484622515841585</v>
      </c>
      <c r="K492" s="25" t="n">
        <f aca="false">J492*'Cover &amp; Assumptions'!$D$11*E492*'Cover &amp; Assumptions'!$E$11*C492</f>
        <v>14896.5622100937</v>
      </c>
      <c r="L492" s="25" t="n">
        <f aca="false">J492*'Cover &amp; Assumptions'!$D$12*E492*'Cover &amp; Assumptions'!$E$12*C492</f>
        <v>18447.7550589395</v>
      </c>
      <c r="M492" s="25" t="n">
        <f aca="false">J492*'Cover &amp; Assumptions'!$D$13*E492*'Cover &amp; Assumptions'!$E$13*C492</f>
        <v>32099.0938025548</v>
      </c>
      <c r="N492" s="25" t="n">
        <f aca="false">K492*'Cover &amp; Assumptions'!$C$11+L492*'Cover &amp; Assumptions'!$C$12+M492*'Cover &amp; Assumptions'!$C$13</f>
        <v>21150.3511750742</v>
      </c>
    </row>
    <row r="493" customFormat="false" ht="15" hidden="false" customHeight="false" outlineLevel="0" collapsed="false">
      <c r="A493" s="17" t="str">
        <f aca="false">Portfolio!A493</f>
        <v>UKSME-102368</v>
      </c>
      <c r="B493" s="17" t="str">
        <f aca="false">Portfolio!B493</f>
        <v>Healthcare</v>
      </c>
      <c r="C493" s="21" t="n">
        <f aca="false">Portfolio!D493</f>
        <v>23871</v>
      </c>
      <c r="D493" s="22" t="n">
        <f aca="false">Portfolio!G493</f>
        <v>0.0367282708880549</v>
      </c>
      <c r="E493" s="23" t="n">
        <f aca="false">Portfolio!E493</f>
        <v>0.357</v>
      </c>
      <c r="F493" s="17" t="n">
        <f aca="false">Portfolio!F493</f>
        <v>5</v>
      </c>
      <c r="G493" s="16" t="str">
        <f aca="false">IF(OR(F493&gt;='Cover &amp; Assumptions'!$C$22,Portfolio!I493=1),"Stage 3",IF(OR(F493&gt;=30,D493&gt;'Cover &amp; Assumptions'!$C$21),"Stage 2","Stage 1"))</f>
        <v>Stage 1</v>
      </c>
      <c r="H493" s="16" t="n">
        <f aca="false">IF(G493="Stage 1",12,MIN(Portfolio!H493,60))</f>
        <v>12</v>
      </c>
      <c r="I493" s="24" t="n">
        <f aca="false">1-(1-D493)^(H493/12)</f>
        <v>0.0367282708880549</v>
      </c>
      <c r="J493" s="24" t="n">
        <f aca="false">IF(G493="Stage 1",D493,I493)</f>
        <v>0.0367282708880549</v>
      </c>
      <c r="K493" s="25" t="n">
        <f aca="false">J493*'Cover &amp; Assumptions'!$D$11*E493*'Cover &amp; Assumptions'!$E$11*C493</f>
        <v>252.74457516204</v>
      </c>
      <c r="L493" s="25" t="n">
        <f aca="false">J493*'Cover &amp; Assumptions'!$D$12*E493*'Cover &amp; Assumptions'!$E$12*C493</f>
        <v>312.996377909647</v>
      </c>
      <c r="M493" s="25" t="n">
        <f aca="false">J493*'Cover &amp; Assumptions'!$D$13*E493*'Cover &amp; Assumptions'!$E$13*C493</f>
        <v>544.613697562785</v>
      </c>
      <c r="N493" s="25" t="n">
        <f aca="false">K493*'Cover &amp; Assumptions'!$C$11+L493*'Cover &amp; Assumptions'!$C$12+M493*'Cover &amp; Assumptions'!$C$13</f>
        <v>358.85034727341</v>
      </c>
    </row>
    <row r="494" customFormat="false" ht="15" hidden="false" customHeight="false" outlineLevel="0" collapsed="false">
      <c r="A494" s="17" t="str">
        <f aca="false">Portfolio!A494</f>
        <v>UKSME-101561</v>
      </c>
      <c r="B494" s="17" t="str">
        <f aca="false">Portfolio!B494</f>
        <v>Technology</v>
      </c>
      <c r="C494" s="21" t="n">
        <f aca="false">Portfolio!D494</f>
        <v>40650</v>
      </c>
      <c r="D494" s="22" t="n">
        <f aca="false">Portfolio!G494</f>
        <v>0.138683186805403</v>
      </c>
      <c r="E494" s="23" t="n">
        <f aca="false">Portfolio!E494</f>
        <v>0.233</v>
      </c>
      <c r="F494" s="17" t="n">
        <f aca="false">Portfolio!F494</f>
        <v>0</v>
      </c>
      <c r="G494" s="16" t="str">
        <f aca="false">IF(OR(F494&gt;='Cover &amp; Assumptions'!$C$22,Portfolio!I494=1),"Stage 3",IF(OR(F494&gt;=30,D494&gt;'Cover &amp; Assumptions'!$C$21),"Stage 2","Stage 1"))</f>
        <v>Stage 1</v>
      </c>
      <c r="H494" s="16" t="n">
        <f aca="false">IF(G494="Stage 1",12,MIN(Portfolio!H494,60))</f>
        <v>12</v>
      </c>
      <c r="I494" s="24" t="n">
        <f aca="false">1-(1-D494)^(H494/12)</f>
        <v>0.138683186805403</v>
      </c>
      <c r="J494" s="24" t="n">
        <f aca="false">IF(G494="Stage 1",D494,I494)</f>
        <v>0.138683186805403</v>
      </c>
      <c r="K494" s="25" t="n">
        <f aca="false">J494*'Cover &amp; Assumptions'!$D$11*E494*'Cover &amp; Assumptions'!$E$11*C494</f>
        <v>1060.67617725694</v>
      </c>
      <c r="L494" s="25" t="n">
        <f aca="false">J494*'Cover &amp; Assumptions'!$D$12*E494*'Cover &amp; Assumptions'!$E$12*C494</f>
        <v>1313.53086966804</v>
      </c>
      <c r="M494" s="25" t="n">
        <f aca="false">J494*'Cover &amp; Assumptions'!$D$13*E494*'Cover &amp; Assumptions'!$E$13*C494</f>
        <v>2285.54371322239</v>
      </c>
      <c r="N494" s="25" t="n">
        <f aca="false">K494*'Cover &amp; Assumptions'!$C$11+L494*'Cover &amp; Assumptions'!$C$12+M494*'Cover &amp; Assumptions'!$C$13</f>
        <v>1505.96314207441</v>
      </c>
    </row>
    <row r="495" customFormat="false" ht="15" hidden="false" customHeight="false" outlineLevel="0" collapsed="false">
      <c r="A495" s="17" t="str">
        <f aca="false">Portfolio!A495</f>
        <v>UKSME-104484</v>
      </c>
      <c r="B495" s="17" t="str">
        <f aca="false">Portfolio!B495</f>
        <v>Hospitality</v>
      </c>
      <c r="C495" s="21" t="n">
        <f aca="false">Portfolio!D495</f>
        <v>91569</v>
      </c>
      <c r="D495" s="22" t="n">
        <f aca="false">Portfolio!G495</f>
        <v>0.0034320928645374</v>
      </c>
      <c r="E495" s="23" t="n">
        <f aca="false">Portfolio!E495</f>
        <v>0.395</v>
      </c>
      <c r="F495" s="17" t="n">
        <f aca="false">Portfolio!F495</f>
        <v>0</v>
      </c>
      <c r="G495" s="16" t="str">
        <f aca="false">IF(OR(F495&gt;='Cover &amp; Assumptions'!$C$22,Portfolio!I495=1),"Stage 3",IF(OR(F495&gt;=30,D495&gt;'Cover &amp; Assumptions'!$C$21),"Stage 2","Stage 1"))</f>
        <v>Stage 1</v>
      </c>
      <c r="H495" s="16" t="n">
        <f aca="false">IF(G495="Stage 1",12,MIN(Portfolio!H495,60))</f>
        <v>12</v>
      </c>
      <c r="I495" s="24" t="n">
        <f aca="false">1-(1-D495)^(H495/12)</f>
        <v>0.00343209286453738</v>
      </c>
      <c r="J495" s="24" t="n">
        <f aca="false">IF(G495="Stage 1",D495,I495)</f>
        <v>0.0034320928645374</v>
      </c>
      <c r="K495" s="25" t="n">
        <f aca="false">J495*'Cover &amp; Assumptions'!$D$11*E495*'Cover &amp; Assumptions'!$E$11*C495</f>
        <v>100.241401123409</v>
      </c>
      <c r="L495" s="25" t="n">
        <f aca="false">J495*'Cover &amp; Assumptions'!$D$12*E495*'Cover &amp; Assumptions'!$E$12*C495</f>
        <v>124.137958047566</v>
      </c>
      <c r="M495" s="25" t="n">
        <f aca="false">J495*'Cover &amp; Assumptions'!$D$13*E495*'Cover &amp; Assumptions'!$E$13*C495</f>
        <v>216.000047002765</v>
      </c>
      <c r="N495" s="25" t="n">
        <f aca="false">K495*'Cover &amp; Assumptions'!$C$11+L495*'Cover &amp; Assumptions'!$C$12+M495*'Cover &amp; Assumptions'!$C$13</f>
        <v>142.324168901534</v>
      </c>
    </row>
    <row r="496" customFormat="false" ht="15" hidden="false" customHeight="false" outlineLevel="0" collapsed="false">
      <c r="A496" s="17" t="str">
        <f aca="false">Portfolio!A496</f>
        <v>UKSME-108288</v>
      </c>
      <c r="B496" s="17" t="str">
        <f aca="false">Portfolio!B496</f>
        <v>Technology</v>
      </c>
      <c r="C496" s="21" t="n">
        <f aca="false">Portfolio!D496</f>
        <v>63941</v>
      </c>
      <c r="D496" s="22" t="n">
        <f aca="false">Portfolio!G496</f>
        <v>0.108942313281937</v>
      </c>
      <c r="E496" s="23" t="n">
        <f aca="false">Portfolio!E496</f>
        <v>0.156</v>
      </c>
      <c r="F496" s="17" t="n">
        <f aca="false">Portfolio!F496</f>
        <v>0</v>
      </c>
      <c r="G496" s="16" t="str">
        <f aca="false">IF(OR(F496&gt;='Cover &amp; Assumptions'!$C$22,Portfolio!I496=1),"Stage 3",IF(OR(F496&gt;=30,D496&gt;'Cover &amp; Assumptions'!$C$21),"Stage 2","Stage 1"))</f>
        <v>Stage 1</v>
      </c>
      <c r="H496" s="16" t="n">
        <f aca="false">IF(G496="Stage 1",12,MIN(Portfolio!H496,60))</f>
        <v>12</v>
      </c>
      <c r="I496" s="24" t="n">
        <f aca="false">1-(1-D496)^(H496/12)</f>
        <v>0.108942313281936</v>
      </c>
      <c r="J496" s="24" t="n">
        <f aca="false">IF(G496="Stage 1",D496,I496)</f>
        <v>0.108942313281937</v>
      </c>
      <c r="K496" s="25" t="n">
        <f aca="false">J496*'Cover &amp; Assumptions'!$D$11*E496*'Cover &amp; Assumptions'!$E$11*C496</f>
        <v>877.491960734991</v>
      </c>
      <c r="L496" s="25" t="n">
        <f aca="false">J496*'Cover &amp; Assumptions'!$D$12*E496*'Cover &amp; Assumptions'!$E$12*C496</f>
        <v>1086.67735075541</v>
      </c>
      <c r="M496" s="25" t="n">
        <f aca="false">J496*'Cover &amp; Assumptions'!$D$13*E496*'Cover &amp; Assumptions'!$E$13*C496</f>
        <v>1890.81859031441</v>
      </c>
      <c r="N496" s="25" t="n">
        <f aca="false">K496*'Cover &amp; Assumptions'!$C$11+L496*'Cover &amp; Assumptions'!$C$12+M496*'Cover &amp; Assumptions'!$C$13</f>
        <v>1245.87558264107</v>
      </c>
    </row>
    <row r="497" customFormat="false" ht="15" hidden="false" customHeight="false" outlineLevel="0" collapsed="false">
      <c r="A497" s="17" t="str">
        <f aca="false">Portfolio!A497</f>
        <v>UKSME-103676</v>
      </c>
      <c r="B497" s="17" t="str">
        <f aca="false">Portfolio!B497</f>
        <v>Technology</v>
      </c>
      <c r="C497" s="21" t="n">
        <f aca="false">Portfolio!D497</f>
        <v>60443</v>
      </c>
      <c r="D497" s="22" t="n">
        <f aca="false">Portfolio!G497</f>
        <v>0.144359977775612</v>
      </c>
      <c r="E497" s="23" t="n">
        <f aca="false">Portfolio!E497</f>
        <v>0.303</v>
      </c>
      <c r="F497" s="17" t="n">
        <f aca="false">Portfolio!F497</f>
        <v>0</v>
      </c>
      <c r="G497" s="16" t="str">
        <f aca="false">IF(OR(F497&gt;='Cover &amp; Assumptions'!$C$22,Portfolio!I497=1),"Stage 3",IF(OR(F497&gt;=30,D497&gt;'Cover &amp; Assumptions'!$C$21),"Stage 2","Stage 1"))</f>
        <v>Stage 1</v>
      </c>
      <c r="H497" s="16" t="n">
        <f aca="false">IF(G497="Stage 1",12,MIN(Portfolio!H497,60))</f>
        <v>12</v>
      </c>
      <c r="I497" s="24" t="n">
        <f aca="false">1-(1-D497)^(H497/12)</f>
        <v>0.144359977775612</v>
      </c>
      <c r="J497" s="24" t="n">
        <f aca="false">IF(G497="Stage 1",D497,I497)</f>
        <v>0.144359977775612</v>
      </c>
      <c r="K497" s="25" t="n">
        <f aca="false">J497*'Cover &amp; Assumptions'!$D$11*E497*'Cover &amp; Assumptions'!$E$11*C497</f>
        <v>2134.90216581961</v>
      </c>
      <c r="L497" s="25" t="n">
        <f aca="false">J497*'Cover &amp; Assumptions'!$D$12*E497*'Cover &amp; Assumptions'!$E$12*C497</f>
        <v>2643.84169141747</v>
      </c>
      <c r="M497" s="25" t="n">
        <f aca="false">J497*'Cover &amp; Assumptions'!$D$13*E497*'Cover &amp; Assumptions'!$E$13*C497</f>
        <v>4600.28454306641</v>
      </c>
      <c r="N497" s="25" t="n">
        <f aca="false">K497*'Cover &amp; Assumptions'!$C$11+L497*'Cover &amp; Assumptions'!$C$12+M497*'Cover &amp; Assumptions'!$C$13</f>
        <v>3031.16449921013</v>
      </c>
    </row>
    <row r="498" customFormat="false" ht="15" hidden="false" customHeight="false" outlineLevel="0" collapsed="false">
      <c r="A498" s="17" t="str">
        <f aca="false">Portfolio!A498</f>
        <v>UKSME-108075</v>
      </c>
      <c r="B498" s="17" t="str">
        <f aca="false">Portfolio!B498</f>
        <v>Transport</v>
      </c>
      <c r="C498" s="21" t="n">
        <f aca="false">Portfolio!D498</f>
        <v>65600</v>
      </c>
      <c r="D498" s="22" t="n">
        <f aca="false">Portfolio!G498</f>
        <v>0.268603076574429</v>
      </c>
      <c r="E498" s="23" t="n">
        <f aca="false">Portfolio!E498</f>
        <v>0.544</v>
      </c>
      <c r="F498" s="17" t="n">
        <f aca="false">Portfolio!F498</f>
        <v>0</v>
      </c>
      <c r="G498" s="16" t="str">
        <f aca="false">IF(OR(F498&gt;='Cover &amp; Assumptions'!$C$22,Portfolio!I498=1),"Stage 3",IF(OR(F498&gt;=30,D498&gt;'Cover &amp; Assumptions'!$C$21),"Stage 2","Stage 1"))</f>
        <v>Stage 2</v>
      </c>
      <c r="H498" s="16" t="n">
        <f aca="false">IF(G498="Stage 1",12,MIN(Portfolio!H498,60))</f>
        <v>60</v>
      </c>
      <c r="I498" s="24" t="n">
        <f aca="false">1-(1-D498)^(H498/12)</f>
        <v>0.790701726496107</v>
      </c>
      <c r="J498" s="24" t="n">
        <f aca="false">IF(G498="Stage 1",D498,I498)</f>
        <v>0.790701726496107</v>
      </c>
      <c r="K498" s="25" t="n">
        <f aca="false">J498*'Cover &amp; Assumptions'!$D$11*E498*'Cover &amp; Assumptions'!$E$11*C498</f>
        <v>22785.4682096378</v>
      </c>
      <c r="L498" s="25" t="n">
        <f aca="false">J498*'Cover &amp; Assumptions'!$D$12*E498*'Cover &amp; Assumptions'!$E$12*C498</f>
        <v>28217.2980924307</v>
      </c>
      <c r="M498" s="25" t="n">
        <f aca="false">J498*'Cover &amp; Assumptions'!$D$13*E498*'Cover &amp; Assumptions'!$E$13*C498</f>
        <v>49098.0986808293</v>
      </c>
      <c r="N498" s="25" t="n">
        <f aca="false">K498*'Cover &amp; Assumptions'!$C$11+L498*'Cover &amp; Assumptions'!$C$12+M498*'Cover &amp; Assumptions'!$C$13</f>
        <v>32351.1322629717</v>
      </c>
    </row>
    <row r="499" customFormat="false" ht="15" hidden="false" customHeight="false" outlineLevel="0" collapsed="false">
      <c r="A499" s="17" t="str">
        <f aca="false">Portfolio!A499</f>
        <v>UKSME-101363</v>
      </c>
      <c r="B499" s="17" t="str">
        <f aca="false">Portfolio!B499</f>
        <v>Hospitality</v>
      </c>
      <c r="C499" s="21" t="n">
        <f aca="false">Portfolio!D499</f>
        <v>70520</v>
      </c>
      <c r="D499" s="22" t="n">
        <f aca="false">Portfolio!G499</f>
        <v>0.305281574598431</v>
      </c>
      <c r="E499" s="23" t="n">
        <f aca="false">Portfolio!E499</f>
        <v>0.598</v>
      </c>
      <c r="F499" s="17" t="n">
        <f aca="false">Portfolio!F499</f>
        <v>0</v>
      </c>
      <c r="G499" s="16" t="str">
        <f aca="false">IF(OR(F499&gt;='Cover &amp; Assumptions'!$C$22,Portfolio!I499=1),"Stage 3",IF(OR(F499&gt;=30,D499&gt;'Cover &amp; Assumptions'!$C$21),"Stage 2","Stage 1"))</f>
        <v>Stage 3</v>
      </c>
      <c r="H499" s="16" t="n">
        <f aca="false">IF(G499="Stage 1",12,MIN(Portfolio!H499,60))</f>
        <v>60</v>
      </c>
      <c r="I499" s="24" t="n">
        <f aca="false">1-(1-D499)^(H499/12)</f>
        <v>0.83817556954779</v>
      </c>
      <c r="J499" s="24" t="n">
        <f aca="false">IF(G499="Stage 1",D499,I499)</f>
        <v>0.83817556954779</v>
      </c>
      <c r="K499" s="25" t="n">
        <f aca="false">J499*'Cover &amp; Assumptions'!$D$11*E499*'Cover &amp; Assumptions'!$E$11*C499</f>
        <v>28542.4347462245</v>
      </c>
      <c r="L499" s="25" t="n">
        <f aca="false">J499*'Cover &amp; Assumptions'!$D$12*E499*'Cover &amp; Assumptions'!$E$12*C499</f>
        <v>35346.6684163771</v>
      </c>
      <c r="M499" s="25" t="n">
        <f aca="false">J499*'Cover &amp; Assumptions'!$D$13*E499*'Cover &amp; Assumptions'!$E$13*C499</f>
        <v>61503.2030444961</v>
      </c>
      <c r="N499" s="25" t="n">
        <f aca="false">K499*'Cover &amp; Assumptions'!$C$11+L499*'Cover &amp; Assumptions'!$C$12+M499*'Cover &amp; Assumptions'!$C$13</f>
        <v>40524.9553393763</v>
      </c>
    </row>
    <row r="500" customFormat="false" ht="15" hidden="false" customHeight="false" outlineLevel="0" collapsed="false">
      <c r="A500" s="17" t="str">
        <f aca="false">Portfolio!A500</f>
        <v>UKSME-106489</v>
      </c>
      <c r="B500" s="17" t="str">
        <f aca="false">Portfolio!B500</f>
        <v>Wholesale</v>
      </c>
      <c r="C500" s="21" t="n">
        <f aca="false">Portfolio!D500</f>
        <v>27160</v>
      </c>
      <c r="D500" s="22" t="n">
        <f aca="false">Portfolio!G500</f>
        <v>0.166806150970922</v>
      </c>
      <c r="E500" s="23" t="n">
        <f aca="false">Portfolio!E500</f>
        <v>0.255</v>
      </c>
      <c r="F500" s="17" t="n">
        <f aca="false">Portfolio!F500</f>
        <v>0</v>
      </c>
      <c r="G500" s="16" t="str">
        <f aca="false">IF(OR(F500&gt;='Cover &amp; Assumptions'!$C$22,Portfolio!I500=1),"Stage 3",IF(OR(F500&gt;=30,D500&gt;'Cover &amp; Assumptions'!$C$21),"Stage 2","Stage 1"))</f>
        <v>Stage 2</v>
      </c>
      <c r="H500" s="16" t="n">
        <f aca="false">IF(G500="Stage 1",12,MIN(Portfolio!H500,60))</f>
        <v>60</v>
      </c>
      <c r="I500" s="24" t="n">
        <f aca="false">1-(1-D500)^(H500/12)</f>
        <v>0.598458649091707</v>
      </c>
      <c r="J500" s="24" t="n">
        <f aca="false">IF(G500="Stage 1",D500,I500)</f>
        <v>0.598458649091707</v>
      </c>
      <c r="K500" s="25" t="n">
        <f aca="false">J500*'Cover &amp; Assumptions'!$D$11*E500*'Cover &amp; Assumptions'!$E$11*C500</f>
        <v>3346.92996634257</v>
      </c>
      <c r="L500" s="25" t="n">
        <f aca="false">J500*'Cover &amp; Assumptions'!$D$12*E500*'Cover &amp; Assumptions'!$E$12*C500</f>
        <v>4144.80491187934</v>
      </c>
      <c r="M500" s="25" t="n">
        <f aca="false">J500*'Cover &amp; Assumptions'!$D$13*E500*'Cover &amp; Assumptions'!$E$13*C500</f>
        <v>7211.96054667005</v>
      </c>
      <c r="N500" s="25" t="n">
        <f aca="false">K500*'Cover &amp; Assumptions'!$C$11+L500*'Cover &amp; Assumptions'!$C$12+M500*'Cover &amp; Assumptions'!$C$13</f>
        <v>4752.01883146966</v>
      </c>
    </row>
    <row r="501" customFormat="false" ht="15" hidden="false" customHeight="false" outlineLevel="0" collapsed="false">
      <c r="A501" s="17" t="str">
        <f aca="false">Portfolio!A501</f>
        <v>UKSME-109321</v>
      </c>
      <c r="B501" s="17" t="str">
        <f aca="false">Portfolio!B501</f>
        <v>Professional Services</v>
      </c>
      <c r="C501" s="21" t="n">
        <f aca="false">Portfolio!D501</f>
        <v>58535</v>
      </c>
      <c r="D501" s="22" t="n">
        <f aca="false">Portfolio!G501</f>
        <v>0.117621047562272</v>
      </c>
      <c r="E501" s="23" t="n">
        <f aca="false">Portfolio!E501</f>
        <v>0.775</v>
      </c>
      <c r="F501" s="17" t="n">
        <f aca="false">Portfolio!F501</f>
        <v>0</v>
      </c>
      <c r="G501" s="16" t="str">
        <f aca="false">IF(OR(F501&gt;='Cover &amp; Assumptions'!$C$22,Portfolio!I501=1),"Stage 3",IF(OR(F501&gt;=30,D501&gt;'Cover &amp; Assumptions'!$C$21),"Stage 2","Stage 1"))</f>
        <v>Stage 1</v>
      </c>
      <c r="H501" s="16" t="n">
        <f aca="false">IF(G501="Stage 1",12,MIN(Portfolio!H501,60))</f>
        <v>12</v>
      </c>
      <c r="I501" s="24" t="n">
        <f aca="false">1-(1-D501)^(H501/12)</f>
        <v>0.117621047562272</v>
      </c>
      <c r="J501" s="24" t="n">
        <f aca="false">IF(G501="Stage 1",D501,I501)</f>
        <v>0.117621047562272</v>
      </c>
      <c r="K501" s="25" t="n">
        <f aca="false">J501*'Cover &amp; Assumptions'!$D$11*E501*'Cover &amp; Assumptions'!$E$11*C501</f>
        <v>4308.68653217649</v>
      </c>
      <c r="L501" s="25" t="n">
        <f aca="false">J501*'Cover &amp; Assumptions'!$D$12*E501*'Cover &amp; Assumptions'!$E$12*C501</f>
        <v>5335.83471476965</v>
      </c>
      <c r="M501" s="25" t="n">
        <f aca="false">J501*'Cover &amp; Assumptions'!$D$13*E501*'Cover &amp; Assumptions'!$E$13*C501</f>
        <v>9284.35240369918</v>
      </c>
      <c r="N501" s="25" t="n">
        <f aca="false">K501*'Cover &amp; Assumptions'!$C$11+L501*'Cover &amp; Assumptions'!$C$12+M501*'Cover &amp; Assumptions'!$C$13</f>
        <v>6117.5345004834</v>
      </c>
    </row>
  </sheetData>
  <conditionalFormatting sqref="G2:G501">
    <cfRule type="expression" priority="2" aboveAverage="0" equalAverage="0" bottom="0" percent="0" rank="0" text="" dxfId="0">
      <formula>$G2="Stage 1"</formula>
    </cfRule>
    <cfRule type="expression" priority="3" aboveAverage="0" equalAverage="0" bottom="0" percent="0" rank="0" text="" dxfId="1">
      <formula>$G2="Stage 2"</formula>
    </cfRule>
    <cfRule type="expression" priority="4" aboveAverage="0" equalAverage="0" bottom="0" percent="0" rank="0" text="" dxfId="2">
      <formula>$G2="Stage 3"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582</v>
      </c>
    </row>
    <row r="4" customFormat="false" ht="15" hidden="false" customHeight="false" outlineLevel="0" collapsed="false">
      <c r="B4" s="2" t="s">
        <v>574</v>
      </c>
      <c r="C4" s="2" t="s">
        <v>583</v>
      </c>
      <c r="D4" s="2" t="s">
        <v>46</v>
      </c>
      <c r="E4" s="2" t="s">
        <v>584</v>
      </c>
      <c r="F4" s="2" t="s">
        <v>585</v>
      </c>
    </row>
    <row r="5" customFormat="false" ht="15" hidden="false" customHeight="false" outlineLevel="0" collapsed="false">
      <c r="B5" s="26" t="s">
        <v>586</v>
      </c>
      <c r="C5" s="10" t="n">
        <f aca="false">COUNTIF('ECL Calculation'!G2:G501,"Stage 1")</f>
        <v>190</v>
      </c>
      <c r="D5" s="18" t="n">
        <f aca="false">SUMIF('ECL Calculation'!G2:G501,"Stage 1",'ECL Calculation'!C2:C501)</f>
        <v>16548756</v>
      </c>
      <c r="E5" s="18" t="n">
        <f aca="false">SUMIF('ECL Calculation'!G2:G501,"Stage 1",'ECL Calculation'!N2:N501)</f>
        <v>747222.143638915</v>
      </c>
      <c r="F5" s="20" t="n">
        <f aca="false">IFERROR(E5/D5,0)</f>
        <v>0.0451527681983416</v>
      </c>
    </row>
    <row r="6" customFormat="false" ht="15" hidden="false" customHeight="false" outlineLevel="0" collapsed="false">
      <c r="B6" s="27" t="s">
        <v>587</v>
      </c>
      <c r="C6" s="10" t="n">
        <f aca="false">COUNTIF('ECL Calculation'!G2:G501,"Stage 2")</f>
        <v>220</v>
      </c>
      <c r="D6" s="18" t="n">
        <f aca="false">SUMIF('ECL Calculation'!G2:G501,"Stage 2",'ECL Calculation'!C2:C501)</f>
        <v>24833657</v>
      </c>
      <c r="E6" s="18" t="n">
        <f aca="false">SUMIF('ECL Calculation'!G2:G501,"Stage 2",'ECL Calculation'!N2:N501)</f>
        <v>6681247.33659481</v>
      </c>
      <c r="F6" s="20" t="n">
        <f aca="false">IFERROR(E6/D6,0)</f>
        <v>0.269040010361535</v>
      </c>
    </row>
    <row r="7" customFormat="false" ht="15" hidden="false" customHeight="false" outlineLevel="0" collapsed="false">
      <c r="B7" s="28" t="s">
        <v>588</v>
      </c>
      <c r="C7" s="10" t="n">
        <f aca="false">COUNTIF('ECL Calculation'!G2:G501,"Stage 3")</f>
        <v>90</v>
      </c>
      <c r="D7" s="18" t="n">
        <f aca="false">SUMIF('ECL Calculation'!G2:G501,"Stage 3",'ECL Calculation'!C2:C501)</f>
        <v>7644346</v>
      </c>
      <c r="E7" s="18" t="n">
        <f aca="false">SUMIF('ECL Calculation'!G2:G501,"Stage 3",'ECL Calculation'!N2:N501)</f>
        <v>2699842.3085209</v>
      </c>
      <c r="F7" s="20" t="n">
        <f aca="false">IFERROR(E7/D7,0)</f>
        <v>0.353181594412511</v>
      </c>
    </row>
    <row r="8" customFormat="false" ht="15" hidden="false" customHeight="false" outlineLevel="0" collapsed="false">
      <c r="B8" s="29" t="s">
        <v>589</v>
      </c>
      <c r="C8" s="29" t="n">
        <f aca="false">SUM(C5:C7)</f>
        <v>500</v>
      </c>
      <c r="D8" s="30" t="n">
        <f aca="false">SUM(D5:D7)</f>
        <v>49026759</v>
      </c>
      <c r="E8" s="30" t="n">
        <f aca="false">SUM(E5:E7)</f>
        <v>10128311.7887546</v>
      </c>
      <c r="F8" s="31" t="n">
        <f aca="false">IFERROR(E8/D8,0)</f>
        <v>0.206587422773645</v>
      </c>
    </row>
    <row r="11" customFormat="false" ht="15" hidden="false" customHeight="false" outlineLevel="0" collapsed="false">
      <c r="B11" s="9" t="s">
        <v>590</v>
      </c>
      <c r="C11" s="9"/>
      <c r="D11" s="9"/>
      <c r="E11" s="9"/>
      <c r="F11" s="9"/>
    </row>
    <row r="12" customFormat="false" ht="15" hidden="false" customHeight="false" outlineLevel="0" collapsed="false">
      <c r="B12" s="2" t="s">
        <v>24</v>
      </c>
      <c r="C12" s="2" t="s">
        <v>25</v>
      </c>
      <c r="D12" s="2" t="s">
        <v>591</v>
      </c>
      <c r="E12" s="2" t="s">
        <v>592</v>
      </c>
    </row>
    <row r="13" customFormat="false" ht="15" hidden="false" customHeight="false" outlineLevel="0" collapsed="false">
      <c r="B13" s="32" t="s">
        <v>29</v>
      </c>
      <c r="C13" s="33" t="n">
        <f aca="false">'Cover &amp; Assumptions'!C11</f>
        <v>0.2</v>
      </c>
      <c r="D13" s="34" t="n">
        <f aca="false">SUM('ECL Calculation'!K2:K501)</f>
        <v>7133547.11680712</v>
      </c>
      <c r="E13" s="34" t="n">
        <f aca="false">C13*D13</f>
        <v>1426709.42336142</v>
      </c>
    </row>
    <row r="14" customFormat="false" ht="15" hidden="false" customHeight="false" outlineLevel="0" collapsed="false">
      <c r="B14" s="32" t="s">
        <v>30</v>
      </c>
      <c r="C14" s="33" t="n">
        <f aca="false">'Cover &amp; Assumptions'!C12</f>
        <v>0.55</v>
      </c>
      <c r="D14" s="34" t="n">
        <f aca="false">SUM('ECL Calculation'!L2:L501)</f>
        <v>8834114.07654132</v>
      </c>
      <c r="E14" s="34" t="n">
        <f aca="false">C14*D14</f>
        <v>4858762.74209773</v>
      </c>
    </row>
    <row r="15" customFormat="false" ht="15" hidden="false" customHeight="false" outlineLevel="0" collapsed="false">
      <c r="B15" s="32" t="s">
        <v>31</v>
      </c>
      <c r="C15" s="33" t="n">
        <f aca="false">'Cover &amp; Assumptions'!C13</f>
        <v>0.25</v>
      </c>
      <c r="D15" s="34" t="n">
        <f aca="false">SUM('ECL Calculation'!M2:M501)</f>
        <v>15371358.4931819</v>
      </c>
      <c r="E15" s="34" t="n">
        <f aca="false">C15*D15</f>
        <v>3842839.62329547</v>
      </c>
    </row>
    <row r="16" customFormat="false" ht="15" hidden="false" customHeight="false" outlineLevel="0" collapsed="false">
      <c r="B16" s="29" t="s">
        <v>589</v>
      </c>
      <c r="C16" s="33"/>
      <c r="D16" s="34"/>
      <c r="E16" s="30" t="n">
        <f aca="false">SUM(E13:E15)</f>
        <v>10128311.7887546</v>
      </c>
    </row>
    <row r="19" customFormat="false" ht="15" hidden="false" customHeight="false" outlineLevel="0" collapsed="false">
      <c r="B19" s="9" t="s">
        <v>593</v>
      </c>
      <c r="C19" s="9"/>
      <c r="D19" s="9"/>
      <c r="E19" s="9"/>
      <c r="F19" s="9"/>
    </row>
    <row r="20" customFormat="false" ht="15" hidden="false" customHeight="false" outlineLevel="0" collapsed="false">
      <c r="B20" s="2" t="s">
        <v>44</v>
      </c>
      <c r="C20" s="2" t="s">
        <v>583</v>
      </c>
      <c r="D20" s="2" t="s">
        <v>46</v>
      </c>
      <c r="E20" s="2" t="s">
        <v>594</v>
      </c>
      <c r="F20" s="2" t="s">
        <v>595</v>
      </c>
    </row>
    <row r="21" customFormat="false" ht="15" hidden="false" customHeight="false" outlineLevel="0" collapsed="false">
      <c r="B21" s="32" t="s">
        <v>53</v>
      </c>
      <c r="C21" s="32" t="n">
        <f aca="false">COUNTIF('ECL Calculation'!B2:B501,"Construction")</f>
        <v>47</v>
      </c>
      <c r="D21" s="34" t="n">
        <f aca="false">SUMIF('ECL Calculation'!B2:B501,"Construction",'ECL Calculation'!C2:C501)</f>
        <v>5151820</v>
      </c>
      <c r="E21" s="34" t="n">
        <f aca="false">SUMIF('ECL Calculation'!B2:B501,"Construction",'ECL Calculation'!N2:N501)</f>
        <v>1075197.72486805</v>
      </c>
      <c r="F21" s="35" t="n">
        <f aca="false">IFERROR(E21/D21,0)</f>
        <v>0.208702502196902</v>
      </c>
    </row>
    <row r="22" customFormat="false" ht="15" hidden="false" customHeight="false" outlineLevel="0" collapsed="false">
      <c r="B22" s="32" t="s">
        <v>67</v>
      </c>
      <c r="C22" s="32" t="n">
        <f aca="false">COUNTIF('ECL Calculation'!B2:B501,"Healthcare")</f>
        <v>49</v>
      </c>
      <c r="D22" s="34" t="n">
        <f aca="false">SUMIF('ECL Calculation'!B2:B501,"Healthcare",'ECL Calculation'!C2:C501)</f>
        <v>4369682</v>
      </c>
      <c r="E22" s="34" t="n">
        <f aca="false">SUMIF('ECL Calculation'!B2:B501,"Healthcare",'ECL Calculation'!N2:N501)</f>
        <v>995817.576197777</v>
      </c>
      <c r="F22" s="35" t="n">
        <f aca="false">IFERROR(E22/D22,0)</f>
        <v>0.227892459038845</v>
      </c>
    </row>
    <row r="23" customFormat="false" ht="15" hidden="false" customHeight="false" outlineLevel="0" collapsed="false">
      <c r="B23" s="32" t="s">
        <v>64</v>
      </c>
      <c r="C23" s="32" t="n">
        <f aca="false">COUNTIF('ECL Calculation'!B2:B501,"Hospitality")</f>
        <v>47</v>
      </c>
      <c r="D23" s="34" t="n">
        <f aca="false">SUMIF('ECL Calculation'!B2:B501,"Hospitality",'ECL Calculation'!C2:C501)</f>
        <v>6298016</v>
      </c>
      <c r="E23" s="34" t="n">
        <f aca="false">SUMIF('ECL Calculation'!B2:B501,"Hospitality",'ECL Calculation'!N2:N501)</f>
        <v>1300908.67919401</v>
      </c>
      <c r="F23" s="35" t="n">
        <f aca="false">IFERROR(E23/D23,0)</f>
        <v>0.206558490672937</v>
      </c>
    </row>
    <row r="24" customFormat="false" ht="15" hidden="false" customHeight="false" outlineLevel="0" collapsed="false">
      <c r="B24" s="32" t="s">
        <v>69</v>
      </c>
      <c r="C24" s="32" t="n">
        <f aca="false">COUNTIF('ECL Calculation'!B2:B501,"Manufacturing")</f>
        <v>49</v>
      </c>
      <c r="D24" s="34" t="n">
        <f aca="false">SUMIF('ECL Calculation'!B2:B501,"Manufacturing",'ECL Calculation'!C2:C501)</f>
        <v>4865201</v>
      </c>
      <c r="E24" s="34" t="n">
        <f aca="false">SUMIF('ECL Calculation'!B2:B501,"Manufacturing",'ECL Calculation'!N2:N501)</f>
        <v>1183425.84293067</v>
      </c>
      <c r="F24" s="35" t="n">
        <f aca="false">IFERROR(E24/D24,0)</f>
        <v>0.24324294986593</v>
      </c>
    </row>
    <row r="25" customFormat="false" ht="15" hidden="false" customHeight="false" outlineLevel="0" collapsed="false">
      <c r="B25" s="32" t="s">
        <v>59</v>
      </c>
      <c r="C25" s="32" t="n">
        <f aca="false">COUNTIF('ECL Calculation'!B2:B501,"Professional Services")</f>
        <v>54</v>
      </c>
      <c r="D25" s="34" t="n">
        <f aca="false">SUMIF('ECL Calculation'!B2:B501,"Professional Services",'ECL Calculation'!C2:C501)</f>
        <v>4210384</v>
      </c>
      <c r="E25" s="34" t="n">
        <f aca="false">SUMIF('ECL Calculation'!B2:B501,"Professional Services",'ECL Calculation'!N2:N501)</f>
        <v>867244.806914934</v>
      </c>
      <c r="F25" s="35" t="n">
        <f aca="false">IFERROR(E25/D25,0)</f>
        <v>0.205977603685301</v>
      </c>
    </row>
    <row r="26" customFormat="false" ht="15" hidden="false" customHeight="false" outlineLevel="0" collapsed="false">
      <c r="B26" s="32" t="s">
        <v>76</v>
      </c>
      <c r="C26" s="32" t="n">
        <f aca="false">COUNTIF('ECL Calculation'!B2:B501,"Real Estate")</f>
        <v>54</v>
      </c>
      <c r="D26" s="34" t="n">
        <f aca="false">SUMIF('ECL Calculation'!B2:B501,"Real Estate",'ECL Calculation'!C2:C501)</f>
        <v>4859486</v>
      </c>
      <c r="E26" s="34" t="n">
        <f aca="false">SUMIF('ECL Calculation'!B2:B501,"Real Estate",'ECL Calculation'!N2:N501)</f>
        <v>1187651.31705154</v>
      </c>
      <c r="F26" s="35" t="n">
        <f aca="false">IFERROR(E26/D26,0)</f>
        <v>0.244398546893961</v>
      </c>
    </row>
    <row r="27" customFormat="false" ht="15" hidden="false" customHeight="false" outlineLevel="0" collapsed="false">
      <c r="B27" s="32" t="s">
        <v>88</v>
      </c>
      <c r="C27" s="32" t="n">
        <f aca="false">COUNTIF('ECL Calculation'!B2:B501,"Retail")</f>
        <v>45</v>
      </c>
      <c r="D27" s="34" t="n">
        <f aca="false">SUMIF('ECL Calculation'!B2:B501,"Retail",'ECL Calculation'!C2:C501)</f>
        <v>4500696</v>
      </c>
      <c r="E27" s="34" t="n">
        <f aca="false">SUMIF('ECL Calculation'!B2:B501,"Retail",'ECL Calculation'!N2:N501)</f>
        <v>884103.282461896</v>
      </c>
      <c r="F27" s="35" t="n">
        <f aca="false">IFERROR(E27/D27,0)</f>
        <v>0.196437013844502</v>
      </c>
    </row>
    <row r="28" customFormat="false" ht="15" hidden="false" customHeight="false" outlineLevel="0" collapsed="false">
      <c r="B28" s="32" t="s">
        <v>83</v>
      </c>
      <c r="C28" s="32" t="n">
        <f aca="false">COUNTIF('ECL Calculation'!B2:B501,"Technology")</f>
        <v>46</v>
      </c>
      <c r="D28" s="34" t="n">
        <f aca="false">SUMIF('ECL Calculation'!B2:B501,"Technology",'ECL Calculation'!C2:C501)</f>
        <v>4495275</v>
      </c>
      <c r="E28" s="34" t="n">
        <f aca="false">SUMIF('ECL Calculation'!B2:B501,"Technology",'ECL Calculation'!N2:N501)</f>
        <v>702840.068061773</v>
      </c>
      <c r="F28" s="35" t="n">
        <f aca="false">IFERROR(E28/D28,0)</f>
        <v>0.156350850184198</v>
      </c>
    </row>
    <row r="29" customFormat="false" ht="15" hidden="false" customHeight="false" outlineLevel="0" collapsed="false">
      <c r="B29" s="32" t="s">
        <v>62</v>
      </c>
      <c r="C29" s="32" t="n">
        <f aca="false">COUNTIF('ECL Calculation'!B2:B501,"Transport")</f>
        <v>60</v>
      </c>
      <c r="D29" s="34" t="n">
        <f aca="false">SUMIF('ECL Calculation'!B2:B501,"Transport",'ECL Calculation'!C2:C501)</f>
        <v>6727189</v>
      </c>
      <c r="E29" s="34" t="n">
        <f aca="false">SUMIF('ECL Calculation'!B2:B501,"Transport",'ECL Calculation'!N2:N501)</f>
        <v>1207297.399494</v>
      </c>
      <c r="F29" s="35" t="n">
        <f aca="false">IFERROR(E29/D29,0)</f>
        <v>0.179465360567987</v>
      </c>
    </row>
    <row r="30" customFormat="false" ht="15" hidden="false" customHeight="false" outlineLevel="0" collapsed="false">
      <c r="B30" s="32" t="s">
        <v>56</v>
      </c>
      <c r="C30" s="32" t="n">
        <f aca="false">COUNTIF('ECL Calculation'!B2:B501,"Wholesale")</f>
        <v>49</v>
      </c>
      <c r="D30" s="34" t="n">
        <f aca="false">SUMIF('ECL Calculation'!B2:B501,"Wholesale",'ECL Calculation'!C2:C501)</f>
        <v>3549010</v>
      </c>
      <c r="E30" s="34" t="n">
        <f aca="false">SUMIF('ECL Calculation'!B2:B501,"Wholesale",'ECL Calculation'!N2:N501)</f>
        <v>723825.091579981</v>
      </c>
      <c r="F30" s="35" t="n">
        <f aca="false">IFERROR(E30/D30,0)</f>
        <v>0.203951268545307</v>
      </c>
    </row>
  </sheetData>
  <mergeCells count="2">
    <mergeCell ref="B11:F11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2026-05-22T11:30:26Z</dcterms:created>
  <dc:creator>openpyxl</dc:creator>
  <dc:description/>
  <dc:language>en-US</dc:language>
  <cp:lastModifiedBy/>
  <dcterms:modified xsi:type="dcterms:W3CDTF">2026-05-22T11:30:27Z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